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cf2bd325a58483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5245b1298bf54e8b"/>
    <x:sheet xmlns:r="http://schemas.openxmlformats.org/officeDocument/2006/relationships" name="Week 1 Backlog" sheetId="2" r:id="R7e6be9e2bc2d4262"/>
    <x:sheet xmlns:r="http://schemas.openxmlformats.org/officeDocument/2006/relationships" name="Competitor Scope" sheetId="3" r:id="R9c847ba6f0874821"/>
    <x:sheet xmlns:r="http://schemas.openxmlformats.org/officeDocument/2006/relationships" name="API Scorecard" sheetId="4" r:id="Rd08dcf87345a4624"/>
    <x:sheet xmlns:r="http://schemas.openxmlformats.org/officeDocument/2006/relationships" name="Style &amp; Eval" sheetId="5" r:id="R0412b9e3da4d4b1c"/>
    <x:sheet xmlns:r="http://schemas.openxmlformats.org/officeDocument/2006/relationships" name="Decision Gate" sheetId="6" r:id="Rf34f7244ea3745e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4">
    <x:numFmt numFmtId="200" formatCode="0.0"/>
    <x:numFmt numFmtId="201" formatCode="0%"/>
    <x:numFmt numFmtId="202" formatCode="0.00"/>
    <x:numFmt numFmtId="203" formatCode="0"/>
  </x:numFmts>
  <x:fonts count="10">
    <x:font>
      <x:sz val="11"/>
      <x:name val="Carlito"/>
    </x:font>
    <x:font>
      <x:b/>
      <x:sz val="20"/>
      <x:color rgb="FFFFFFFF"/>
      <x:name val="Carlito"/>
    </x:font>
    <x:font>
      <x:i/>
      <x:sz val="10"/>
      <x:color rgb="FF66757B"/>
      <x:name val="Carlito"/>
    </x:font>
    <x:font>
      <x:sz val="10"/>
      <x:color rgb="FF243238"/>
      <x:name val="Arial"/>
    </x:font>
    <x:font>
      <x:b/>
      <x:sz val="10"/>
      <x:color rgb="FFFFFFFF"/>
      <x:name val="Arial"/>
    </x:font>
    <x:font>
      <x:b/>
      <x:sz val="20"/>
      <x:color rgb="FF3F7C78"/>
      <x:name val="Carlito"/>
    </x:font>
    <x:font>
      <x:b/>
      <x:sz val="9"/>
      <x:color rgb="FF66757B"/>
      <x:name val="Carlito"/>
    </x:font>
    <x:font>
      <x:b/>
      <x:sz val="12"/>
      <x:color rgb="FF243238"/>
      <x:name val="Carlito"/>
    </x:font>
    <x:font>
      <x:sz val="10"/>
      <x:color rgb="FF243238"/>
      <x:name val="Carlito"/>
    </x:font>
    <x:font>
      <x:b/>
      <x:sz val="11"/>
      <x:color rgb="FF243238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243238"/>
      </x:patternFill>
    </x:fill>
    <x:fill>
      <x:patternFill patternType="solid">
        <x:fgColor rgb="FFF4EFE6"/>
      </x:patternFill>
    </x:fill>
    <x:fill>
      <x:patternFill patternType="solid">
        <x:fgColor rgb="FF3F7C78"/>
      </x:patternFill>
    </x:fill>
    <x:fill>
      <x:patternFill patternType="solid">
        <x:fgColor rgb="FFF7F9F9"/>
      </x:patternFill>
    </x:fill>
    <x:fill>
      <x:patternFill patternType="solid">
        <x:fgColor rgb="FFDCEAE8"/>
      </x:patternFill>
    </x:fill>
  </x:fills>
  <x:borders count="7">
    <x:border/>
    <x:border>
      <x:left style="thin">
        <x:color rgb="FFD9E0E2"/>
      </x:left>
      <x:top style="thin">
        <x:color rgb="FFD9E0E2"/>
      </x:top>
    </x:border>
    <x:border>
      <x:right style="thin">
        <x:color rgb="FFD9E0E2"/>
      </x:right>
      <x:top style="thin">
        <x:color rgb="FFD9E0E2"/>
      </x:top>
    </x:border>
    <x:border>
      <x:left style="thin">
        <x:color rgb="FFD9E0E2"/>
      </x:left>
      <x:bottom style="thin">
        <x:color rgb="FFD9E0E2"/>
      </x:bottom>
    </x:border>
    <x:border>
      <x:right style="thin">
        <x:color rgb="FFD9E0E2"/>
      </x:right>
      <x:bottom style="thin">
        <x:color rgb="FFD9E0E2"/>
      </x:bottom>
    </x:border>
    <x:border>
      <x:left style="thin">
        <x:color rgb="FF3F7C78"/>
      </x:left>
      <x:top style="thin">
        <x:color rgb="FF3F7C78"/>
      </x:top>
      <x:bottom style="thin">
        <x:color rgb="FF3F7C78"/>
      </x:bottom>
    </x:border>
    <x:border>
      <x:right style="thin">
        <x:color rgb="FF3F7C78"/>
      </x:right>
      <x:top style="thin">
        <x:color rgb="FF3F7C78"/>
      </x:top>
      <x:bottom style="thin">
        <x:color rgb="FF3F7C78"/>
      </x:bottom>
    </x:border>
  </x:borders>
  <x:cellStyleXfs count="1">
    <x:xf numFmtId="0" fontId="0" fillId="0" borderId="0"/>
  </x:cellStyleXfs>
  <x:cellXfs count="43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vertical="top" wrapText="1"/>
    </x:xf>
    <x:xf numFmtId="0" fontId="3" fillId="4" borderId="0" xfId="0" applyNumberFormat="1" applyFont="1" applyFill="1" applyBorder="1" applyAlignment="1">
      <x:alignment vertical="top" wrapText="1"/>
    </x:xf>
    <x:xf numFmtId="0" fontId="4" fillId="4" borderId="0" xfId="0" applyNumberFormat="1" applyFont="1" applyFill="1" applyBorder="1" applyAlignment="1">
      <x:alignment vertical="top" wrapText="1"/>
    </x:xf>
    <x:xf numFmtId="0" fontId="4" fillId="4" borderId="0" xfId="0" applyNumberFormat="1" applyFont="1" applyFill="1" applyBorder="1" applyAlignment="1">
      <x:alignment horizontal="center" vertical="top" wrapText="1"/>
    </x:xf>
    <x:xf numFmtId="0" fontId="4" fillId="4" borderId="0" xfId="0" applyNumberFormat="1" applyFont="1" applyFill="1" applyBorder="1" applyAlignment="1">
      <x:alignment horizontal="center" vertical="center" wrapText="1"/>
    </x:xf>
    <x:xf numFmtId="200" fontId="3" fillId="0" borderId="0" xfId="0" applyNumberFormat="1" applyFont="1" applyFill="1" applyBorder="1" applyAlignment="1">
      <x:alignment vertical="top" wrapText="1"/>
    </x:xf>
    <x:xf numFmtId="0" fontId="0" fillId="5" borderId="0" xfId="0" applyNumberFormat="1" applyFont="1" applyFill="1" applyBorder="1"/>
    <x:xf numFmtId="0" fontId="0" fillId="5" borderId="1" xfId="0" applyNumberFormat="1" applyFont="1" applyFill="1" applyBorder="1"/>
    <x:xf numFmtId="0" fontId="0" fillId="5" borderId="2" xfId="0" applyNumberFormat="1" applyFont="1" applyFill="1" applyBorder="1"/>
    <x:xf numFmtId="0" fontId="0" fillId="5" borderId="3" xfId="0" applyNumberFormat="1" applyFont="1" applyFill="1" applyBorder="1"/>
    <x:xf numFmtId="0" fontId="0" fillId="5" borderId="4" xfId="0" applyNumberFormat="1" applyFont="1" applyFill="1" applyBorder="1"/>
    <x:xf numFmtId="0" fontId="0" fillId="5" borderId="1" xfId="0" applyNumberFormat="1" applyFont="1" applyFill="1" applyBorder="1" applyAlignment="1">
      <x:alignment horizontal="center"/>
    </x:xf>
    <x:xf numFmtId="0" fontId="0" fillId="5" borderId="2" xfId="0" applyNumberFormat="1" applyFont="1" applyFill="1" applyBorder="1" applyAlignment="1">
      <x:alignment horizontal="center"/>
    </x:xf>
    <x:xf numFmtId="0" fontId="0" fillId="5" borderId="3" xfId="0" applyNumberFormat="1" applyFont="1" applyFill="1" applyBorder="1" applyAlignment="1">
      <x:alignment horizontal="center"/>
    </x:xf>
    <x:xf numFmtId="0" fontId="0" fillId="5" borderId="4" xfId="0" applyNumberFormat="1" applyFont="1" applyFill="1" applyBorder="1" applyAlignment="1">
      <x:alignment horizontal="center"/>
    </x:xf>
    <x:xf numFmtId="0" fontId="0" fillId="5" borderId="1" xfId="0" applyNumberFormat="1" applyFont="1" applyFill="1" applyBorder="1" applyAlignment="1">
      <x:alignment horizontal="center" vertical="center"/>
    </x:xf>
    <x:xf numFmtId="0" fontId="0" fillId="5" borderId="2" xfId="0" applyNumberFormat="1" applyFont="1" applyFill="1" applyBorder="1" applyAlignment="1">
      <x:alignment horizontal="center" vertical="center"/>
    </x:xf>
    <x:xf numFmtId="0" fontId="0" fillId="5" borderId="3" xfId="0" applyNumberFormat="1" applyFont="1" applyFill="1" applyBorder="1" applyAlignment="1">
      <x:alignment horizontal="center" vertical="center"/>
    </x:xf>
    <x:xf numFmtId="0" fontId="0" fillId="5" borderId="4" xfId="0" applyNumberFormat="1" applyFont="1" applyFill="1" applyBorder="1" applyAlignment="1">
      <x:alignment horizontal="center" vertical="center"/>
    </x:xf>
    <x:xf numFmtId="0" fontId="5" fillId="5" borderId="1" xfId="0" applyNumberFormat="1" applyFont="1" applyFill="1" applyBorder="1" applyAlignment="1">
      <x:alignment horizontal="center" vertical="center"/>
    </x:xf>
    <x:xf numFmtId="0" fontId="5" fillId="5" borderId="2" xfId="0" applyNumberFormat="1" applyFont="1" applyFill="1" applyBorder="1" applyAlignment="1">
      <x:alignment horizontal="center" vertical="center"/>
    </x:xf>
    <x:xf numFmtId="0" fontId="6" fillId="5" borderId="3" xfId="0" applyNumberFormat="1" applyFont="1" applyFill="1" applyBorder="1" applyAlignment="1">
      <x:alignment horizontal="center" vertical="center"/>
    </x:xf>
    <x:xf numFmtId="0" fontId="6" fillId="5" borderId="4" xfId="0" applyNumberFormat="1" applyFont="1" applyFill="1" applyBorder="1" applyAlignment="1">
      <x:alignment horizontal="center" vertical="center"/>
    </x:xf>
    <x:xf numFmtId="0" fontId="7" fillId="3" borderId="0" xfId="0" applyNumberFormat="1" applyFont="1" applyFill="1" applyBorder="1"/>
    <x:xf numFmtId="0" fontId="8" fillId="5" borderId="0" xfId="0" applyNumberFormat="1" applyFont="1" applyFill="1" applyBorder="1"/>
    <x:xf numFmtId="0" fontId="8" fillId="5" borderId="0" xfId="0" applyNumberFormat="1" applyFont="1" applyFill="1" applyBorder="1" applyAlignment="1">
      <x:alignment wrapText="1"/>
    </x:xf>
    <x:xf numFmtId="0" fontId="8" fillId="5" borderId="0" xfId="0" applyNumberFormat="1" applyFont="1" applyFill="1" applyBorder="1" applyAlignment="1">
      <x:alignment vertical="center" wrapText="1"/>
    </x:xf>
    <x:xf numFmtId="201" fontId="3" fillId="0" borderId="0" xfId="0" applyNumberFormat="1" applyFont="1" applyFill="1" applyBorder="1" applyAlignment="1">
      <x:alignment vertical="top" wrapText="1"/>
    </x:xf>
    <x:xf numFmtId="202" fontId="3" fillId="0" borderId="0" xfId="0" applyNumberFormat="1" applyFont="1" applyFill="1" applyBorder="1" applyAlignment="1">
      <x:alignment vertical="top" wrapText="1"/>
    </x:xf>
    <x:xf numFmtId="203" fontId="3" fillId="0" borderId="0" xfId="0" applyNumberFormat="1" applyFont="1" applyFill="1" applyBorder="1" applyAlignment="1">
      <x:alignment vertical="top" wrapText="1"/>
    </x:xf>
    <x:xf numFmtId="0" fontId="0" fillId="6" borderId="0" xfId="0" applyNumberFormat="1" applyFont="1" applyFill="1" applyBorder="1"/>
    <x:xf numFmtId="0" fontId="9" fillId="6" borderId="0" xfId="0" applyNumberFormat="1" applyFont="1" applyFill="1" applyBorder="1"/>
    <x:xf numFmtId="0" fontId="9" fillId="6" borderId="5" xfId="0" applyNumberFormat="1" applyFont="1" applyFill="1" applyBorder="1"/>
    <x:xf numFmtId="0" fontId="9" fillId="6" borderId="6" xfId="0" applyNumberFormat="1" applyFont="1" applyFill="1" applyBorder="1"/>
  </x:cellXfs>
  <x:cellStyles count="1">
    <x:cellStyle name="Normal" xfId="0"/>
  </x:cellStyles>
  <x:dxfs count="6">
    <x:dxf>
      <x:font>
        <x:b/>
        <x:color rgb="FF8E3B2E"/>
      </x:font>
      <x:fill>
        <x:patternFill patternType="solid">
          <x:bgColor rgb="FFFBE7E1"/>
        </x:patternFill>
      </x:fill>
    </x:dxf>
    <x:dxf>
      <x:font>
        <x:color rgb="FF775718"/>
      </x:font>
      <x:fill>
        <x:patternFill patternType="solid">
          <x:bgColor rgb="FFFFF3D8"/>
        </x:patternFill>
      </x:fill>
    </x:dxf>
    <x:dxf>
      <x:font>
        <x:b/>
        <x:color rgb="FF27643A"/>
      </x:font>
      <x:fill>
        <x:patternFill patternType="solid">
          <x:bgColor rgb="FFE5F2E8"/>
        </x:patternFill>
      </x:fill>
    </x:dxf>
    <x:dxf>
      <x:font>
        <x:b/>
        <x:color rgb="FF8E3B2E"/>
      </x:font>
      <x:fill>
        <x:patternFill patternType="solid">
          <x:bgColor rgb="FFFBE7E1"/>
        </x:patternFill>
      </x:fill>
    </x:dxf>
    <x:dxf>
      <x:font>
        <x:b/>
        <x:color rgb="FF8E3B2E"/>
      </x:font>
      <x:fill>
        <x:patternFill patternType="solid">
          <x:bgColor rgb="FFFBE7E1"/>
        </x:patternFill>
      </x:fill>
    </x:dxf>
    <x:dxf>
      <x:font>
        <x:b/>
        <x:color rgb="FF27643A"/>
      </x:font>
      <x:fill>
        <x:patternFill patternType="solid">
          <x:bgColor rgb="FFE5F2E8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02ae4a698c447af" /><Relationship Type="http://schemas.openxmlformats.org/officeDocument/2006/relationships/theme" Target="/xl/theme/theme1.xml" Id="Refeccd8c38194f0a" /><Relationship Type="http://schemas.openxmlformats.org/officeDocument/2006/relationships/sharedStrings" Target="/xl/sharedStrings.xml" Id="R56faaa1f2bd6445a" /><Relationship Type="http://schemas.openxmlformats.org/officeDocument/2006/relationships/worksheet" Target="/xl/worksheets/sheet1.xml" Id="R5245b1298bf54e8b" /><Relationship Type="http://schemas.openxmlformats.org/officeDocument/2006/relationships/worksheet" Target="/xl/worksheets/sheet2.xml" Id="R7e6be9e2bc2d4262" /><Relationship Type="http://schemas.openxmlformats.org/officeDocument/2006/relationships/worksheet" Target="/xl/worksheets/sheet3.xml" Id="R9c847ba6f0874821" /><Relationship Type="http://schemas.openxmlformats.org/officeDocument/2006/relationships/worksheet" Target="/xl/worksheets/sheet4.xml" Id="Rd08dcf87345a4624" /><Relationship Type="http://schemas.openxmlformats.org/officeDocument/2006/relationships/worksheet" Target="/xl/worksheets/sheet5.xml" Id="R0412b9e3da4d4b1c" /><Relationship Type="http://schemas.openxmlformats.org/officeDocument/2006/relationships/worksheet" Target="/xl/worksheets/sheet6.xml" Id="Rf34f7244ea3745e1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9b8fa9bc38134dcd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Discovery workload by day (team hours)</a:t>
            </a:r>
          </a:p>
        </c:rich>
      </c:tx>
      <c:overlay val="0"/>
    </c:title>
    <c:autoTitleDeleted val="0"/>
    <c:plotArea>
      <c:layout/>
      <c:barChart>
        <c:barDir val="col"/>
        <c:varyColors val="0"/>
        <c:ser>
          <c:idx val="0"/>
          <c:order val="0"/>
          <c:tx>
            <c:v>Planned Hours</c:v>
          </c:tx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0"/>
          </c:dLbls>
          <c:cat>
            <c:strRef>
              <c:f>'Dashboard'!$A$9:$A$13</c:f>
              <c:strCache>
                <c:ptCount val="0"/>
              </c:strCache>
            </c:strRef>
          </c:cat>
          <c:val>
            <c:numRef>
              <c:f>'Dashboard'!$B$9:$B$13</c:f>
              <c:numCache>
                <c:formatCode>0.0</c:formatCode>
                <c:ptCount val="0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.0"/>
        <c:majorTickMark val="none"/>
        <c:minorTickMark val="none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26</xdr:row>
      <xdr:rowOff>0</xdr:rowOff>
    </xdr:from>
    <xdr:to>
      <xdr:col>8</xdr:col>
      <xdr:colOff>0</xdr:colOff>
      <xdr:row>43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b8fa9bc38134dcd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Week1DiscoveryBacklog" displayName="Week1DiscoveryBacklog" ref="A5:N13" headerRowCount="1">
  <x:autoFilter ref="A5:N13"/>
  <x:tableColumns count="14">
    <x:tableColumn id="1" name="ID"/>
    <x:tableColumn id="2" name="Day"/>
    <x:tableColumn id="3" name="Workstream"/>
    <x:tableColumn id="4" name="Priority"/>
    <x:tableColumn id="5" name="Type"/>
    <x:tableColumn id="6" name="Task"/>
    <x:tableColumn id="7" name="Why now"/>
    <x:tableColumn id="8" name="Acceptance Criteria"/>
    <x:tableColumn id="9" name="Owner"/>
    <x:tableColumn id="10" name="Est. Hours"/>
    <x:tableColumn id="11" name="Dependency"/>
    <x:tableColumn id="12" name="Expected Output"/>
    <x:tableColumn id="13" name="Status"/>
    <x:tableColumn id="14" name="Notes"/>
  </x:tableColumns>
  <x:tableStyleInfo name="TableStyleMedium2" showRowStripes="1"/>
</x:table>
</file>

<file path=xl/tables/table2.xml><?xml version="1.0" encoding="utf-8"?>
<x:table xmlns:x="http://schemas.openxmlformats.org/spreadsheetml/2006/main" id="2" name="CompetitorResearchScope" displayName="CompetitorResearchScope" ref="A5:G15" headerRowCount="1">
  <x:autoFilter ref="A5:G15"/>
  <x:tableColumns count="7">
    <x:tableColumn id="1" name="Candidate"/>
    <x:tableColumn id="2" name="Category"/>
    <x:tableColumn id="3" name="Hypothesis to Test"/>
    <x:tableColumn id="4" name="Evidence to Collect"/>
    <x:tableColumn id="5" name="Official Starting URL"/>
    <x:tableColumn id="6" name="Owner"/>
    <x:tableColumn id="7" name="Status"/>
  </x:tableColumns>
  <x:tableStyleInfo name="TableStyleMedium2" showRowStripes="1"/>
</x:table>
</file>

<file path=xl/tables/table3.xml><?xml version="1.0" encoding="utf-8"?>
<x:table xmlns:x="http://schemas.openxmlformats.org/spreadsheetml/2006/main" id="3" name="APIProviderScorecard" displayName="APIProviderScorecard" ref="A5:L9" headerRowCount="1">
  <x:autoFilter ref="A5:L9"/>
  <x:tableColumns count="12">
    <x:tableColumn id="1" name="Provider"/>
    <x:tableColumn id="2" name="Latest Eligible Endpoint"/>
    <x:tableColumn id="3" name="Official Docs"/>
    <x:tableColumn id="4" name="Subject Fidelity"/>
    <x:tableColumn id="5" name="Style Control"/>
    <x:tableColumn id="6" name="Latency &amp; Reliability"/>
    <x:tableColumn id="7" name="Unit Cost"/>
    <x:tableColumn id="8" name="Privacy &amp; Retention"/>
    <x:tableColumn id="9" name="Commercial &amp; Safety"/>
    <x:tableColumn id="10" name="Weighted Score"/>
    <x:tableColumn id="11" name="Status"/>
    <x:tableColumn id="12" name="Notes"/>
  </x:tableColumns>
  <x:tableStyleInfo name="TableStyleMedium2" showRowStripes="1"/>
</x:table>
</file>

<file path=xl/tables/table4.xml><?xml version="1.0" encoding="utf-8"?>
<x:table xmlns:x="http://schemas.openxmlformats.org/spreadsheetml/2006/main" id="4" name="FridayDecisionGate" displayName="FridayDecisionGate" ref="A5:G9" headerRowCount="1">
  <x:autoFilter ref="A5:G9"/>
  <x:tableColumns count="7">
    <x:tableColumn id="1" name="ID"/>
    <x:tableColumn id="2" name="Decision"/>
    <x:tableColumn id="3" name="Evidence Required"/>
    <x:tableColumn id="4" name="Owner"/>
    <x:tableColumn id="5" name="Due"/>
    <x:tableColumn id="6" name="Status"/>
    <x:tableColumn id="7" name="Decision Options / Output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79fd21637de54fca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cd59dbe3212c4ae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fb9fe7ae59174218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cc255131cbda427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4.xml" Id="R21bf4dd9a987471e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7" hidden="0" customWidth="1"/>
    <x:col min="2" max="2" width="15" hidden="0" customWidth="1"/>
    <x:col min="3" max="3" width="15" hidden="0" customWidth="1"/>
    <x:col min="4" max="4" width="20" hidden="0" customWidth="1"/>
    <x:col min="5" max="5" width="14" hidden="0" customWidth="1"/>
    <x:col min="6" max="6" width="14" hidden="0" customWidth="1"/>
    <x:col min="7" max="7" width="14" hidden="0" customWidth="1"/>
    <x:col min="8" max="8" width="14" hidden="0" customWidth="1"/>
    <x:col min="9" max="9" width="3" hidden="0" customWidth="1"/>
    <x:col min="10" max="10" width="3" hidden="0" customWidth="1"/>
  </x:cols>
  <x:sheetData>
    <x:row r="1" ht="36" customHeight="1">
      <x:c r="A1" s="3" t="str">
        <x:v>Week 1 · Discovery Dashboard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24" customHeight="1">
      <x:c r="A2" s="6" t="str">
        <x:v>周五目标：确定 2D 主用 API、首批风格与核心流程、客户图片规则，以及 Tripo 3D 是否保留为可选增强。</x:v>
      </x:c>
      <x:c r="B2" s="6"/>
      <x:c r="C2" s="6"/>
      <x:c r="D2" s="6"/>
      <x:c r="E2" s="6"/>
      <x:c r="F2" s="6"/>
      <x:c r="G2" s="6"/>
      <x:c r="H2" s="6"/>
      <x:c r="I2" s="6"/>
      <x:c r="J2" s="6"/>
    </x:row>
    <x:row r="4">
      <x:c r="A4" s="28" t="n">
        <x:f>COUNTA('Week 1 Backlog'!$A$6:$A$50)</x:f>
        <x:v>8</x:v>
      </x:c>
      <x:c r="B4" s="29"/>
      <x:c r="C4" s="28" t="n">
        <x:f>SUM('Week 1 Backlog'!$J$6:$J$50)</x:f>
        <x:v>36</x:v>
      </x:c>
      <x:c r="D4" s="29"/>
      <x:c r="E4" s="28" t="n">
        <x:f>COUNTIF('Week 1 Backlog'!$D$6:$D$50,"Must")</x:f>
        <x:v>7</x:v>
      </x:c>
      <x:c r="F4" s="29"/>
      <x:c r="G4" s="28" t="n">
        <x:f>COUNTIF('Decision Gate'!$F$6:$F$20,"Open")</x:f>
        <x:v>4</x:v>
      </x:c>
      <x:c r="H4" s="29"/>
    </x:row>
    <x:row r="5">
      <x:c r="A5" s="30" t="str">
        <x:v>Backlog Items</x:v>
      </x:c>
      <x:c r="B5" s="31"/>
      <x:c r="C5" s="30" t="str">
        <x:v>Planned Team Hours</x:v>
      </x:c>
      <x:c r="D5" s="31"/>
      <x:c r="E5" s="30" t="str">
        <x:v>Must Items</x:v>
      </x:c>
      <x:c r="F5" s="31"/>
      <x:c r="G5" s="30" t="str">
        <x:v>Open Friday Decisions</x:v>
      </x:c>
      <x:c r="H5" s="31"/>
    </x:row>
    <x:row r="8" ht="32" customHeight="1">
      <x:c r="A8" s="13" t="str">
        <x:v>Day</x:v>
      </x:c>
      <x:c r="B8" s="13" t="str">
        <x:v>Planned Hours</x:v>
      </x:c>
      <x:c r="D8" s="13" t="str">
        <x:v>Workstream</x:v>
      </x:c>
      <x:c r="E8" s="13" t="str">
        <x:v>Items</x:v>
      </x:c>
      <x:c r="F8" s="13" t="str">
        <x:v>Hours</x:v>
      </x:c>
    </x:row>
    <x:row r="9">
      <x:c r="A9" s="9" t="str">
        <x:v>Day 1</x:v>
      </x:c>
      <x:c r="B9" s="14" t="n">
        <x:f>SUMIF('Week 1 Backlog'!$B$6:$B$50,A9,'Week 1 Backlog'!$J$6:$J$50)</x:f>
        <x:v>8</x:v>
      </x:c>
      <x:c r="D9" s="9" t="str">
        <x:v>产品策略</x:v>
      </x:c>
      <x:c r="E9" s="9" t="n">
        <x:f>COUNTIF('Week 1 Backlog'!$C$6:$C$50,D9)</x:f>
        <x:v>1</x:v>
      </x:c>
      <x:c r="F9" s="14" t="n">
        <x:f>SUMIF('Week 1 Backlog'!$C$6:$C$50,D9,'Week 1 Backlog'!$J$6:$J$50)</x:f>
        <x:v>2</x:v>
      </x:c>
    </x:row>
    <x:row r="10">
      <x:c r="A10" s="9" t="str">
        <x:v>Day 2</x:v>
      </x:c>
      <x:c r="B10" s="14" t="n">
        <x:f>SUMIF('Week 1 Backlog'!$B$6:$B$50,A10,'Week 1 Backlog'!$J$6:$J$50)</x:f>
        <x:v>8</x:v>
      </x:c>
      <x:c r="D10" s="9" t="str">
        <x:v>竞品研究</x:v>
      </x:c>
      <x:c r="E10" s="9" t="n">
        <x:f>COUNTIF('Week 1 Backlog'!$C$6:$C$50,D10)</x:f>
        <x:v>1</x:v>
      </x:c>
      <x:c r="F10" s="14" t="n">
        <x:f>SUMIF('Week 1 Backlog'!$C$6:$C$50,D10,'Week 1 Backlog'!$J$6:$J$50)</x:f>
        <x:v>6</x:v>
      </x:c>
    </x:row>
    <x:row r="11">
      <x:c r="A11" s="9" t="str">
        <x:v>Day 3</x:v>
      </x:c>
      <x:c r="B11" s="14" t="n">
        <x:f>SUMIF('Week 1 Backlog'!$B$6:$B$50,A11,'Week 1 Backlog'!$J$6:$J$50)</x:f>
        <x:v>8</x:v>
      </x:c>
      <x:c r="D11" s="9" t="str">
        <x:v>API 选型</x:v>
      </x:c>
      <x:c r="E11" s="9" t="n">
        <x:f>COUNTIF('Week 1 Backlog'!$C$6:$C$50,D11)</x:f>
        <x:v>1</x:v>
      </x:c>
      <x:c r="F11" s="14" t="n">
        <x:f>SUMIF('Week 1 Backlog'!$C$6:$C$50,D11,'Week 1 Backlog'!$J$6:$J$50)</x:f>
        <x:v>5</x:v>
      </x:c>
    </x:row>
    <x:row r="12">
      <x:c r="A12" s="9" t="str">
        <x:v>Day 4</x:v>
      </x:c>
      <x:c r="B12" s="14" t="n">
        <x:f>SUMIF('Week 1 Backlog'!$B$6:$B$50,A12,'Week 1 Backlog'!$J$6:$J$50)</x:f>
        <x:v>9</x:v>
      </x:c>
      <x:c r="D12" s="9" t="str">
        <x:v>评测设计</x:v>
      </x:c>
      <x:c r="E12" s="9" t="n">
        <x:f>COUNTIF('Week 1 Backlog'!$C$6:$C$50,D12)</x:f>
        <x:v>1</x:v>
      </x:c>
      <x:c r="F12" s="14" t="n">
        <x:f>SUMIF('Week 1 Backlog'!$C$6:$C$50,D12,'Week 1 Backlog'!$J$6:$J$50)</x:f>
        <x:v>3</x:v>
      </x:c>
    </x:row>
    <x:row r="13">
      <x:c r="A13" s="9" t="str">
        <x:v>Day 5</x:v>
      </x:c>
      <x:c r="B13" s="14" t="n">
        <x:f>SUMIF('Week 1 Backlog'!$B$6:$B$50,A13,'Week 1 Backlog'!$J$6:$J$50)</x:f>
        <x:v>3</x:v>
      </x:c>
      <x:c r="D13" s="9" t="str">
        <x:v>API 测试</x:v>
      </x:c>
      <x:c r="E13" s="9" t="n">
        <x:f>COUNTIF('Week 1 Backlog'!$C$6:$C$50,D13)</x:f>
        <x:v>1</x:v>
      </x:c>
      <x:c r="F13" s="14" t="n">
        <x:f>SUMIF('Week 1 Backlog'!$C$6:$C$50,D13,'Week 1 Backlog'!$J$6:$J$50)</x:f>
        <x:v>8</x:v>
      </x:c>
    </x:row>
    <x:row r="14">
      <x:c r="D14" s="9" t="str">
        <x:v>3D 可选验证</x:v>
      </x:c>
      <x:c r="E14" s="9" t="n">
        <x:f>COUNTIF('Week 1 Backlog'!$C$6:$C$50,D14)</x:f>
        <x:v>1</x:v>
      </x:c>
      <x:c r="F14" s="14" t="n">
        <x:f>SUMIF('Week 1 Backlog'!$C$6:$C$50,D14,'Week 1 Backlog'!$J$6:$J$50)</x:f>
        <x:v>4</x:v>
      </x:c>
    </x:row>
    <x:row r="15">
      <x:c r="D15" s="9" t="str">
        <x:v>体验设计</x:v>
      </x:c>
      <x:c r="E15" s="9" t="n">
        <x:f>COUNTIF('Week 1 Backlog'!$C$6:$C$50,D15)</x:f>
        <x:v>1</x:v>
      </x:c>
      <x:c r="F15" s="14" t="n">
        <x:f>SUMIF('Week 1 Backlog'!$C$6:$C$50,D15,'Week 1 Backlog'!$J$6:$J$50)</x:f>
        <x:v>5</x:v>
      </x:c>
    </x:row>
    <x:row r="16">
      <x:c r="D16" s="9" t="str">
        <x:v>综合与决策</x:v>
      </x:c>
      <x:c r="E16" s="9" t="n">
        <x:f>COUNTIF('Week 1 Backlog'!$C$6:$C$50,D16)</x:f>
        <x:v>1</x:v>
      </x:c>
      <x:c r="F16" s="14" t="n">
        <x:f>SUMIF('Week 1 Backlog'!$C$6:$C$50,D16,'Week 1 Backlog'!$J$6:$J$50)</x:f>
        <x:v>3</x:v>
      </x:c>
    </x:row>
    <x:row r="20">
      <x:c r="A20" s="32" t="str">
        <x:v>Week 1 guardrails</x:v>
      </x:c>
      <x:c r="B20" s="32"/>
      <x:c r="C20" s="32"/>
      <x:c r="D20" s="32"/>
      <x:c r="E20" s="32"/>
      <x:c r="F20" s="32"/>
      <x:c r="G20" s="32"/>
      <x:c r="H20" s="32"/>
    </x:row>
    <x:row r="21" ht="25" customHeight="1">
      <x:c r="A21" s="35" t="str">
        <x:v>1. 2D 照片风格化是主线；测试只使用团队自有或明确授权图片，不上传真实客户照片。</x:v>
      </x:c>
      <x:c r="B21" s="35"/>
      <x:c r="C21" s="35"/>
      <x:c r="D21" s="35"/>
      <x:c r="E21" s="35"/>
      <x:c r="F21" s="35"/>
      <x:c r="G21" s="35"/>
      <x:c r="H21" s="35"/>
    </x:row>
    <x:row r="22" ht="25" customHeight="1">
      <x:c r="A22" s="35" t="str">
        <x:v>2. Tripo 3D 只作为 Optional Spike；不稳定、成本过高或结果不可用时立即停止，不能阻塞 2D。</x:v>
      </x:c>
      <x:c r="B22" s="35"/>
      <x:c r="C22" s="35"/>
      <x:c r="D22" s="35"/>
      <x:c r="E22" s="35"/>
      <x:c r="F22" s="35"/>
      <x:c r="G22" s="35"/>
      <x:c r="H22" s="35"/>
    </x:row>
    <x:row r="23" ht="25" customHeight="1">
      <x:c r="A23" s="35" t="str">
        <x:v>3. 所有结论区分事实、推断和假设；未知条款写 Unknown。</x:v>
      </x:c>
      <x:c r="B23" s="35"/>
      <x:c r="C23" s="35"/>
      <x:c r="D23" s="35"/>
      <x:c r="E23" s="35"/>
      <x:c r="F23" s="35"/>
      <x:c r="G23" s="35"/>
      <x:c r="H23" s="35"/>
    </x:row>
    <x:row r="24" ht="25" customHeight="1">
      <x:c r="A24" s="35" t="str">
        <x:v>4. 周五只批准有限 Week 2 工作：优先推进 2D，并明确 3D 是继续可选、延后还是移除。</x:v>
      </x:c>
      <x:c r="B24" s="35"/>
      <x:c r="C24" s="35"/>
      <x:c r="D24" s="35"/>
      <x:c r="E24" s="35"/>
      <x:c r="F24" s="35"/>
      <x:c r="G24" s="35"/>
      <x:c r="H24" s="35"/>
    </x:row>
  </x:sheetData>
  <x:mergeCells>
    <x:mergeCell ref="A1:J1"/>
    <x:mergeCell ref="A2:J2"/>
    <x:mergeCell ref="A4:B4"/>
    <x:mergeCell ref="C4:D4"/>
    <x:mergeCell ref="E4:F4"/>
    <x:mergeCell ref="G4:H4"/>
    <x:mergeCell ref="A5:B5"/>
    <x:mergeCell ref="C5:D5"/>
    <x:mergeCell ref="E5:F5"/>
    <x:mergeCell ref="G5:H5"/>
    <x:mergeCell ref="A20:H20"/>
    <x:mergeCell ref="A21:H21"/>
    <x:mergeCell ref="A22:H22"/>
    <x:mergeCell ref="A23:H23"/>
    <x:mergeCell ref="A24:H24"/>
  </x:mergeCells>
  <x:pageMargins left="0.7" right="0.7" top="0.75" bottom="0.75" header="0.3" footer="0.3"/>
  <x:drawing xmlns:r="http://schemas.openxmlformats.org/officeDocument/2006/relationships" r:id="R79fd21637de54fca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10" hidden="0" customWidth="1"/>
    <x:col min="3" max="3" width="18" hidden="0" customWidth="1"/>
    <x:col min="4" max="4" width="13" hidden="0" customWidth="1"/>
    <x:col min="5" max="5" width="13" hidden="0" customWidth="1"/>
    <x:col min="6" max="6" width="28" hidden="0" customWidth="1"/>
    <x:col min="7" max="7" width="33" hidden="0" customWidth="1"/>
    <x:col min="8" max="8" width="48" hidden="0" customWidth="1"/>
    <x:col min="9" max="9" width="20" hidden="0" customWidth="1"/>
    <x:col min="10" max="10" width="11" hidden="0" customWidth="1"/>
    <x:col min="11" max="11" width="22" hidden="0" customWidth="1"/>
    <x:col min="12" max="12" width="25" hidden="0" customWidth="1"/>
    <x:col min="13" max="13" width="14" hidden="0" customWidth="1"/>
    <x:col min="14" max="14" width="30" hidden="0" customWidth="1"/>
  </x:cols>
  <x:sheetData>
    <x:row r="1" ht="36" customHeight="1">
      <x:c r="A1" s="3" t="str">
        <x:v>Travel Memory Museum · Week 1 Discovery Backlog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</x:row>
    <x:row r="2" ht="24" customHeight="1">
      <x:c r="A2" s="6" t="str">
        <x:v>2D 照片风格化是本周主线；Tripo 3D 仅作为可选增强测试。Backlog 只保留能够推动产品与技术决策的主要工作。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  <x:c r="N2" s="6"/>
    </x:row>
    <x:row r="5" ht="32" customHeight="1">
      <x:c r="A5" s="13" t="str">
        <x:v>ID</x:v>
      </x:c>
      <x:c r="B5" s="13" t="str">
        <x:v>Day</x:v>
      </x:c>
      <x:c r="C5" s="13" t="str">
        <x:v>Workstream</x:v>
      </x:c>
      <x:c r="D5" s="13" t="str">
        <x:v>Priority</x:v>
      </x:c>
      <x:c r="E5" s="13" t="str">
        <x:v>Type</x:v>
      </x:c>
      <x:c r="F5" s="13" t="str">
        <x:v>Task</x:v>
      </x:c>
      <x:c r="G5" s="13" t="str">
        <x:v>Why now</x:v>
      </x:c>
      <x:c r="H5" s="13" t="str">
        <x:v>Acceptance Criteria</x:v>
      </x:c>
      <x:c r="I5" s="13" t="str">
        <x:v>Owner</x:v>
      </x:c>
      <x:c r="J5" s="13" t="str">
        <x:v>Est. Hours</x:v>
      </x:c>
      <x:c r="K5" s="13" t="str">
        <x:v>Dependency</x:v>
      </x:c>
      <x:c r="L5" s="13" t="str">
        <x:v>Expected Output</x:v>
      </x:c>
      <x:c r="M5" s="13" t="str">
        <x:v>Status</x:v>
      </x:c>
      <x:c r="N5" s="13" t="str">
        <x:v>Notes</x:v>
      </x:c>
    </x:row>
    <x:row r="6" ht="54" customHeight="1">
      <x:c r="A6" s="9" t="str">
        <x:v>W1-01</x:v>
      </x:c>
      <x:c r="B6" s="9" t="str">
        <x:v>Day 1</x:v>
      </x:c>
      <x:c r="C6" s="9" t="str">
        <x:v>产品策略</x:v>
      </x:c>
      <x:c r="D6" s="9" t="str">
        <x:v>Must</x:v>
      </x:c>
      <x:c r="E6" s="9" t="str">
        <x:v>Scope</x:v>
      </x:c>
      <x:c r="F6" s="9" t="str">
        <x:v>确认 2D-first 的 MVP 范围</x:v>
      </x:c>
      <x:c r="G6" s="9" t="str">
        <x:v>先把稳定、可展示的照片风格化流程做成主线，避免被不稳定的 3D 生成拖住。</x:v>
      </x:c>
      <x:c r="H6" s="9" t="str">
        <x:v>形成一页范围说明：2D 风格化是主流程；Tripo 3D 是可选增强；写清输入、核心输出、成功标准和本周 Out of Scope。</x:v>
      </x:c>
      <x:c r="I6" s="9" t="str">
        <x:v>Product + Design</x:v>
      </x:c>
      <x:c r="J6" s="14" t="n">
        <x:v>2</x:v>
      </x:c>
      <x:c r="K6" s="9" t="str">
        <x:v>—</x:v>
      </x:c>
      <x:c r="L6" s="9" t="str">
        <x:v>2D-first scope brief</x:v>
      </x:c>
      <x:c r="M6" s="9" t="str">
        <x:v>Not Started</x:v>
      </x:c>
      <x:c r="N6" s="9" t="str">
        <x:v>3D 不作为第一周主线或发布阻塞项。</x:v>
      </x:c>
    </x:row>
    <x:row r="7" ht="54" customHeight="1">
      <x:c r="A7" s="9" t="str">
        <x:v>W1-02</x:v>
      </x:c>
      <x:c r="B7" s="9" t="str">
        <x:v>Day 1</x:v>
      </x:c>
      <x:c r="C7" s="9" t="str">
        <x:v>竞品研究</x:v>
      </x:c>
      <x:c r="D7" s="9" t="str">
        <x:v>Must</x:v>
      </x:c>
      <x:c r="E7" s="9" t="str">
        <x:v>Research</x:v>
      </x:c>
      <x:c r="F7" s="9" t="str">
        <x:v>完成旅行记忆与 2D 照片风格化竞品调研</x:v>
      </x:c>
      <x:c r="G7" s="9" t="str">
        <x:v>明确用户为什么会用、竞品如何展示首屏价值，以及哪些模式值得借鉴。</x:v>
      </x:c>
      <x:c r="H7" s="9" t="str">
        <x:v>覆盖旅行记忆和 2D 风格化两类至少 6 个产品；比较入口、核心流程、结果保真、预设风格、分享、付费墙与隐私；结论附官方来源。</x:v>
      </x:c>
      <x:c r="I7" s="9" t="str">
        <x:v>Research + Design</x:v>
      </x:c>
      <x:c r="J7" s="14" t="n">
        <x:v>6</x:v>
      </x:c>
      <x:c r="K7" s="9" t="str">
        <x:v>W1-01</x:v>
      </x:c>
      <x:c r="L7" s="9" t="str">
        <x:v>Competitor findings</x:v>
      </x:c>
      <x:c r="M7" s="9" t="str">
        <x:v>Not Started</x:v>
      </x:c>
      <x:c r="N7" s="9" t="str">
        <x:v>3D 产品只做轻量补充，不展开专业能力对比。</x:v>
      </x:c>
    </x:row>
    <x:row r="8" ht="54" customHeight="1">
      <x:c r="A8" s="9" t="str">
        <x:v>W1-03</x:v>
      </x:c>
      <x:c r="B8" s="9" t="str">
        <x:v>Day 2</x:v>
      </x:c>
      <x:c r="C8" s="9" t="str">
        <x:v>API 选型</x:v>
      </x:c>
      <x:c r="D8" s="9" t="str">
        <x:v>Must</x:v>
      </x:c>
      <x:c r="E8" s="9" t="str">
        <x:v>Desk Research</x:v>
      </x:c>
      <x:c r="F8" s="9" t="str">
        <x:v>筛选 2D 图像风格化 API</x:v>
      </x:c>
      <x:c r="G8" s="9" t="str">
        <x:v>优先选择更稳定、更容易验证的 2D 能力。</x:v>
      </x:c>
      <x:c r="H8" s="9" t="str">
        <x:v>从官方文档选出 2–3 个候选；记录图像编辑能力、风格控制、价格、区域、数据保留、训练使用和商业权利。</x:v>
      </x:c>
      <x:c r="I8" s="9" t="str">
        <x:v>Backend + Product</x:v>
      </x:c>
      <x:c r="J8" s="14" t="n">
        <x:v>5</x:v>
      </x:c>
      <x:c r="K8" s="9" t="str">
        <x:v>W1-01</x:v>
      </x:c>
      <x:c r="L8" s="9" t="str">
        <x:v>2D API shortlist</x:v>
      </x:c>
      <x:c r="M8" s="9" t="str">
        <x:v>Not Started</x:v>
      </x:c>
      <x:c r="N8" s="9" t="str">
        <x:v>不上传真实客户照片；未知条款写 Unknown。</x:v>
      </x:c>
    </x:row>
    <x:row r="9" ht="54" customHeight="1">
      <x:c r="A9" s="9" t="str">
        <x:v>W1-04</x:v>
      </x:c>
      <x:c r="B9" s="9" t="str">
        <x:v>Day 2</x:v>
      </x:c>
      <x:c r="C9" s="9" t="str">
        <x:v>评测设计</x:v>
      </x:c>
      <x:c r="D9" s="9" t="str">
        <x:v>Must</x:v>
      </x:c>
      <x:c r="E9" s="9" t="str">
        <x:v>Planning</x:v>
      </x:c>
      <x:c r="F9" s="9" t="str">
        <x:v>准备精简测试集与评分标准</x:v>
      </x:c>
      <x:c r="G9" s="9" t="str">
        <x:v>让不同 2D API 和风格可以用同一套样本与尺度比较。</x:v>
      </x:c>
      <x:c r="H9" s="9" t="str">
        <x:v>准备 12 张已授权旅行照片，覆盖人物、合照、风景/建筑、食物、纪念品和低光；定义保真、风格效果、伪影、延迟、成本和失败率。</x:v>
      </x:c>
      <x:c r="I9" s="9" t="str">
        <x:v>Design + QA</x:v>
      </x:c>
      <x:c r="J9" s="14" t="n">
        <x:v>3</x:v>
      </x:c>
      <x:c r="K9" s="9" t="str">
        <x:v>W1-02, W1-03</x:v>
      </x:c>
      <x:c r="L9" s="9" t="str">
        <x:v>12-photo test set + rubric</x:v>
      </x:c>
      <x:c r="M9" s="9" t="str">
        <x:v>Not Started</x:v>
      </x:c>
      <x:c r="N9" s="9" t="str">
        <x:v>测试集以真实常见照片为主，不只挑容易出效果的图。</x:v>
      </x:c>
    </x:row>
    <x:row r="10" ht="54" customHeight="1">
      <x:c r="A10" s="9" t="str">
        <x:v>W1-05</x:v>
      </x:c>
      <x:c r="B10" s="9" t="str">
        <x:v>Day 3</x:v>
      </x:c>
      <x:c r="C10" s="9" t="str">
        <x:v>API 测试</x:v>
      </x:c>
      <x:c r="D10" s="9" t="str">
        <x:v>Must</x:v>
      </x:c>
      <x:c r="E10" s="9" t="str">
        <x:v>Spike</x:v>
      </x:c>
      <x:c r="F10" s="9" t="str">
        <x:v>运行 2D 照片风格化测试</x:v>
      </x:c>
      <x:c r="G10" s="9" t="str">
        <x:v>用真实结果判断 2D 主线是否足够稳定、好看且可控。</x:v>
      </x:c>
      <x:c r="H10" s="9" t="str">
        <x:v>用统一 12 图、统一风格方向测试 2–3 个 API；保存输入/输出、参数、失败、延迟和成本；按评分表汇总。</x:v>
      </x:c>
      <x:c r="I10" s="9" t="str">
        <x:v>Backend + Design + QA</x:v>
      </x:c>
      <x:c r="J10" s="14" t="n">
        <x:v>8</x:v>
      </x:c>
      <x:c r="K10" s="9" t="str">
        <x:v>W1-03, W1-04</x:v>
      </x:c>
      <x:c r="L10" s="9" t="str">
        <x:v>2D test results</x:v>
      </x:c>
      <x:c r="M10" s="9" t="str">
        <x:v>Not Started</x:v>
      </x:c>
      <x:c r="N10" s="9" t="str">
        <x:v>只使用团队自有或明确授权图片。</x:v>
      </x:c>
    </x:row>
    <x:row r="11" ht="54" customHeight="1">
      <x:c r="A11" s="9" t="str">
        <x:v>W1-06</x:v>
      </x:c>
      <x:c r="B11" s="9" t="str">
        <x:v>Day 4</x:v>
      </x:c>
      <x:c r="C11" s="9" t="str">
        <x:v>3D 可选验证</x:v>
      </x:c>
      <x:c r="D11" s="9" t="str">
        <x:v>Should</x:v>
      </x:c>
      <x:c r="E11" s="9" t="str">
        <x:v>Spike</x:v>
      </x:c>
      <x:c r="F11" s="9" t="str">
        <x:v>测试 Tripo 3D 直接上传图片</x:v>
      </x:c>
      <x:c r="G11" s="9" t="str">
        <x:v>确认 Tripo 能否作为可选增强，而不是把它当成核心依赖。</x:v>
      </x:c>
      <x:c r="H11" s="9" t="str">
        <x:v>选 3–5 组物体图片直接上传 Tripo；记录成功率、失败类型、等待时间、成本、模型问题和重复测试稳定性；达到停止条件就终止。</x:v>
      </x:c>
      <x:c r="I11" s="9" t="str">
        <x:v>Backend + QA</x:v>
      </x:c>
      <x:c r="J11" s="14" t="n">
        <x:v>4</x:v>
      </x:c>
      <x:c r="K11" s="9" t="str">
        <x:v>W1-01</x:v>
      </x:c>
      <x:c r="L11" s="9" t="str">
        <x:v>Tripo direct-upload test note</x:v>
      </x:c>
      <x:c r="M11" s="9" t="str">
        <x:v>Not Started</x:v>
      </x:c>
      <x:c r="N11" s="9" t="str">
        <x:v>Optional：不做生产接入，不影响 2D 主线进度。</x:v>
      </x:c>
    </x:row>
    <x:row r="12" ht="54" customHeight="1">
      <x:c r="A12" s="9" t="str">
        <x:v>W1-07</x:v>
      </x:c>
      <x:c r="B12" s="9" t="str">
        <x:v>Day 4</x:v>
      </x:c>
      <x:c r="C12" s="9" t="str">
        <x:v>体验设计</x:v>
      </x:c>
      <x:c r="D12" s="9" t="str">
        <x:v>Must</x:v>
      </x:c>
      <x:c r="E12" s="9" t="str">
        <x:v>Prototype</x:v>
      </x:c>
      <x:c r="F12" s="9" t="str">
        <x:v>画出 2D-first 的核心用户流程</x:v>
      </x:c>
      <x:c r="G12" s="9" t="str">
        <x:v>把测试能力收敛成用户看得懂、能保存和分享的最小流程。</x:v>
      </x:c>
      <x:c r="H12" s="9" t="str">
        <x:v>完成上传/拍摄→选择风格→生成→前后对比→保存/分享；覆盖重试、返回原图和隐私提示；3D 只以可选“Try 3D”入口出现。</x:v>
      </x:c>
      <x:c r="I12" s="9" t="str">
        <x:v>Product + Design</x:v>
      </x:c>
      <x:c r="J12" s="14" t="n">
        <x:v>5</x:v>
      </x:c>
      <x:c r="K12" s="9" t="str">
        <x:v>W1-02, W1-05</x:v>
      </x:c>
      <x:c r="L12" s="9" t="str">
        <x:v>2D-first low-fi flow</x:v>
      </x:c>
      <x:c r="M12" s="9" t="str">
        <x:v>Not Started</x:v>
      </x:c>
      <x:c r="N12" s="9" t="str">
        <x:v>不设计高级修图器或复杂参数面板。</x:v>
      </x:c>
    </x:row>
    <x:row r="13" ht="54" customHeight="1">
      <x:c r="A13" s="9" t="str">
        <x:v>W1-08</x:v>
      </x:c>
      <x:c r="B13" s="9" t="str">
        <x:v>Day 5</x:v>
      </x:c>
      <x:c r="C13" s="9" t="str">
        <x:v>综合与决策</x:v>
      </x:c>
      <x:c r="D13" s="9" t="str">
        <x:v>Must</x:v>
      </x:c>
      <x:c r="E13" s="9" t="str">
        <x:v>Review</x:v>
      </x:c>
      <x:c r="F13" s="9" t="str">
        <x:v>汇总结果并确定 Week 2 计划</x:v>
      </x:c>
      <x:c r="G13" s="9" t="str">
        <x:v>把竞品、2D 测试和 Tripo 小样转成下一周的明确选择。</x:v>
      </x:c>
      <x:c r="H13" s="9" t="str">
        <x:v>决定 2D 首选 API、首批风格、图片数据规则和 Week 2 Spike；根据实测将 Tripo 标为继续可选、延后或移除；同步 PRD 与下一周 Backlog。</x:v>
      </x:c>
      <x:c r="I13" s="9" t="str">
        <x:v>Product + Team</x:v>
      </x:c>
      <x:c r="J13" s="14" t="n">
        <x:v>3</x:v>
      </x:c>
      <x:c r="K13" s="9" t="str">
        <x:v>W1-05, W1-06, W1-07</x:v>
      </x:c>
      <x:c r="L13" s="9" t="str">
        <x:v>Decision log + Week 2 plan</x:v>
      </x:c>
      <x:c r="M13" s="9" t="str">
        <x:v>Not Started</x:v>
      </x:c>
      <x:c r="N13" s="9" t="str">
        <x:v>未关闭项必须有 owner 与期限。</x:v>
      </x:c>
    </x:row>
  </x:sheetData>
  <x:mergeCells>
    <x:mergeCell ref="A1:N1"/>
    <x:mergeCell ref="A2:N2"/>
  </x:mergeCells>
  <x:conditionalFormatting sqref="D6:D50">
    <x:cfRule type="containsText" dxfId="0" priority="1" operator="containsText" text="Must"/>
    <x:cfRule type="containsText" dxfId="1" priority="2" operator="containsText" text="Should"/>
  </x:conditionalFormatting>
  <x:conditionalFormatting sqref="M6:M50">
    <x:cfRule type="containsText" dxfId="2" priority="3" operator="containsText" text="Done"/>
    <x:cfRule type="containsText" dxfId="3" priority="4" operator="containsText" text="Blocked"/>
  </x:conditionalFormatting>
  <x:dataValidations count="3">
    <x:dataValidation type="list" sqref="B6:B50">
      <x:formula1>"Day 1,Day 2,Day 3,Day 4,Day 5"</x:formula1>
    </x:dataValidation>
    <x:dataValidation type="list" sqref="D6:D50">
      <x:formula1>"Must,Should,Could"</x:formula1>
    </x:dataValidation>
    <x:dataValidation type="list" sqref="M6:M50">
      <x:formula1>"Not Started,Ready,In Progress,Blocked,In Review,Done"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d59dbe3212c4ae0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20" hidden="0" customWidth="1"/>
    <x:col min="3" max="3" width="30" hidden="0" customWidth="1"/>
    <x:col min="4" max="4" width="42" hidden="0" customWidth="1"/>
    <x:col min="5" max="5" width="42" hidden="0" customWidth="1"/>
    <x:col min="6" max="6" width="14" hidden="0" customWidth="1"/>
    <x:col min="7" max="7" width="14" hidden="0" customWidth="1"/>
  </x:cols>
  <x:sheetData>
    <x:row r="1" ht="36" customHeight="1">
      <x:c r="A1" s="3" t="str">
        <x:v>Competitor Research Scope</x:v>
      </x:c>
      <x:c r="B1" s="3"/>
      <x:c r="C1" s="3"/>
      <x:c r="D1" s="3"/>
      <x:c r="E1" s="3"/>
      <x:c r="F1" s="3"/>
      <x:c r="G1" s="3"/>
    </x:row>
    <x:row r="2" ht="24" customHeight="1">
      <x:c r="A2" s="6" t="str">
        <x:v>候选清单用于第一周研究；需通过官方资料核实后再写入正式结论。</x:v>
      </x:c>
      <x:c r="B2" s="6"/>
      <x:c r="C2" s="6"/>
      <x:c r="D2" s="6"/>
      <x:c r="E2" s="6"/>
      <x:c r="F2" s="6"/>
      <x:c r="G2" s="6"/>
    </x:row>
    <x:row r="5" ht="32" customHeight="1">
      <x:c r="A5" s="13" t="str">
        <x:v>Candidate</x:v>
      </x:c>
      <x:c r="B5" s="13" t="str">
        <x:v>Category</x:v>
      </x:c>
      <x:c r="C5" s="13" t="str">
        <x:v>Hypothesis to Test</x:v>
      </x:c>
      <x:c r="D5" s="13" t="str">
        <x:v>Evidence to Collect</x:v>
      </x:c>
      <x:c r="E5" s="13" t="str">
        <x:v>Official Starting URL</x:v>
      </x:c>
      <x:c r="F5" s="13" t="str">
        <x:v>Owner</x:v>
      </x:c>
      <x:c r="G5" s="13" t="str">
        <x:v>Status</x:v>
      </x:c>
    </x:row>
    <x:row r="6" ht="47" customHeight="1">
      <x:c r="A6" s="9" t="str">
        <x:v>Polarsteps</x:v>
      </x:c>
      <x:c r="B6" s="9" t="str">
        <x:v>旅行记忆</x:v>
      </x:c>
      <x:c r="C6" s="9" t="str">
        <x:v>自动记录与回看价值</x:v>
      </x:c>
      <x:c r="D6" s="9" t="str">
        <x:v>入口、旅行循环、分享、Travel Book、隐私</x:v>
      </x:c>
      <x:c r="E6" s="9" t="str">
        <x:v>https://www.polarsteps.com/</x:v>
      </x:c>
      <x:c r="F6" s="9" t="str">
        <x:v>Research</x:v>
      </x:c>
      <x:c r="G6" s="9" t="str">
        <x:v>Planned</x:v>
      </x:c>
    </x:row>
    <x:row r="7" ht="47" customHeight="1">
      <x:c r="A7" s="9" t="str">
        <x:v>FindPenguins</x:v>
      </x:c>
      <x:c r="B7" s="9" t="str">
        <x:v>旅行记忆</x:v>
      </x:c>
      <x:c r="C7" s="9" t="str">
        <x:v>旅行日志、社区与 3D 路线表达</x:v>
      </x:c>
      <x:c r="D7" s="9" t="str">
        <x:v>离线追踪、分享、社区、Photo Book、Premium</x:v>
      </x:c>
      <x:c r="E7" s="9" t="str">
        <x:v>https://www.findpenguins.com/</x:v>
      </x:c>
      <x:c r="F7" s="9" t="str">
        <x:v>Research</x:v>
      </x:c>
      <x:c r="G7" s="9" t="str">
        <x:v>Planned</x:v>
      </x:c>
    </x:row>
    <x:row r="8" ht="47" customHeight="1">
      <x:c r="A8" s="9" t="str">
        <x:v>Prisma</x:v>
      </x:c>
      <x:c r="B8" s="9" t="str">
        <x:v>照片风格化</x:v>
      </x:c>
      <x:c r="C8" s="9" t="str">
        <x:v>预设风格与首屏价值表达</x:v>
      </x:c>
      <x:c r="D8" s="9" t="str">
        <x:v>风格入口、保真、导出、订阅墙</x:v>
      </x:c>
      <x:c r="E8" s="9" t="str">
        <x:v>https://prisma-ai.com/</x:v>
      </x:c>
      <x:c r="F8" s="9" t="str">
        <x:v>Design</x:v>
      </x:c>
      <x:c r="G8" s="9" t="str">
        <x:v>Planned</x:v>
      </x:c>
    </x:row>
    <x:row r="9" ht="47" customHeight="1">
      <x:c r="A9" s="9" t="str">
        <x:v>Lensa</x:v>
      </x:c>
      <x:c r="B9" s="9" t="str">
        <x:v>照片风格化</x:v>
      </x:c>
      <x:c r="C9" s="9" t="str">
        <x:v>人物照片与生成式效果</x:v>
      </x:c>
      <x:c r="D9" s="9" t="str">
        <x:v>人物保真、控制、隐私、付费边界</x:v>
      </x:c>
      <x:c r="E9" s="9" t="str">
        <x:v>https://lensa-ai.com/</x:v>
      </x:c>
      <x:c r="F9" s="9" t="str">
        <x:v>Research</x:v>
      </x:c>
      <x:c r="G9" s="9" t="str">
        <x:v>Planned</x:v>
      </x:c>
    </x:row>
    <x:row r="10" ht="47" customHeight="1">
      <x:c r="A10" s="9" t="str">
        <x:v>Picsart</x:v>
      </x:c>
      <x:c r="B10" s="9" t="str">
        <x:v>照片风格化</x:v>
      </x:c>
      <x:c r="C10" s="9" t="str">
        <x:v>AI 编辑套件与创作控制</x:v>
      </x:c>
      <x:c r="D10" s="9" t="str">
        <x:v>图生图入口、控制深度、模板、水印、订阅</x:v>
      </x:c>
      <x:c r="E10" s="9" t="str">
        <x:v>https://picsart.com/</x:v>
      </x:c>
      <x:c r="F10" s="9" t="str">
        <x:v>Design</x:v>
      </x:c>
      <x:c r="G10" s="9" t="str">
        <x:v>Planned</x:v>
      </x:c>
    </x:row>
    <x:row r="11" ht="47" customHeight="1">
      <x:c r="A11" s="9" t="str">
        <x:v>Adobe Firefly</x:v>
      </x:c>
      <x:c r="B11" s="9" t="str">
        <x:v>照片风格化 / API</x:v>
      </x:c>
      <x:c r="C11" s="9" t="str">
        <x:v>商业安全与专业工作流</x:v>
      </x:c>
      <x:c r="D11" s="9" t="str">
        <x:v>风格控制、内容凭证、商业权利、API</x:v>
      </x:c>
      <x:c r="E11" s="9" t="str">
        <x:v>https://www.adobe.com/products/firefly.html</x:v>
      </x:c>
      <x:c r="F11" s="9" t="str">
        <x:v>Backend</x:v>
      </x:c>
      <x:c r="G11" s="9" t="str">
        <x:v>Planned</x:v>
      </x:c>
    </x:row>
    <x:row r="12" ht="47" customHeight="1">
      <x:c r="A12" s="9" t="str">
        <x:v>Canva</x:v>
      </x:c>
      <x:c r="B12" s="9" t="str">
        <x:v>照片风格化 / 策展</x:v>
      </x:c>
      <x:c r="C12" s="9" t="str">
        <x:v>轻量创作与模板组合</x:v>
      </x:c>
      <x:c r="D12" s="9" t="str">
        <x:v>AI 图片编辑、模板、分享、移动端限制</x:v>
      </x:c>
      <x:c r="E12" s="9" t="str">
        <x:v>https://www.canva.com/</x:v>
      </x:c>
      <x:c r="F12" s="9" t="str">
        <x:v>Design</x:v>
      </x:c>
      <x:c r="G12" s="9" t="str">
        <x:v>Planned</x:v>
      </x:c>
    </x:row>
    <x:row r="13" ht="47" customHeight="1">
      <x:c r="A13" s="9" t="str">
        <x:v>Milanote</x:v>
      </x:c>
      <x:c r="B13" s="9" t="str">
        <x:v>视觉策展</x:v>
      </x:c>
      <x:c r="C13" s="9" t="str">
        <x:v>受控自由与只读分享</x:v>
      </x:c>
      <x:c r="D13" s="9" t="str">
        <x:v>画布、模板、素材、公开链接、权限</x:v>
      </x:c>
      <x:c r="E13" s="9" t="str">
        <x:v>https://milanote.com/product/moodboarding</x:v>
      </x:c>
      <x:c r="F13" s="9" t="str">
        <x:v>Design</x:v>
      </x:c>
      <x:c r="G13" s="9" t="str">
        <x:v>Planned</x:v>
      </x:c>
    </x:row>
    <x:row r="14" ht="47" customHeight="1">
      <x:c r="A14" s="9" t="str">
        <x:v>Tripo3D</x:v>
      </x:c>
      <x:c r="B14" s="9" t="str">
        <x:v>3D 可选增强</x:v>
      </x:c>
      <x:c r="C14" s="9" t="str">
        <x:v>直接上传图片的稳定性与结果质量</x:v>
      </x:c>
      <x:c r="D14" s="9" t="str">
        <x:v>输入要求、成功率、等待、成本、失败类型</x:v>
      </x:c>
      <x:c r="E14" s="9" t="str">
        <x:v>https://www.tripo3d.ai/</x:v>
      </x:c>
      <x:c r="F14" s="9" t="str">
        <x:v>Backend</x:v>
      </x:c>
      <x:c r="G14" s="9" t="str">
        <x:v>Planned</x:v>
      </x:c>
    </x:row>
    <x:row r="15" ht="47" customHeight="1">
      <x:c r="A15" s="9" t="str">
        <x:v>Polycam</x:v>
      </x:c>
      <x:c r="B15" s="9" t="str">
        <x:v>3D 参考</x:v>
      </x:c>
      <x:c r="C15" s="9" t="str">
        <x:v>成熟物体捕捉的结果与引导基准</x:v>
      </x:c>
      <x:c r="D15" s="9" t="str">
        <x:v>拍摄要求、等待、结果展示、分享</x:v>
      </x:c>
      <x:c r="E15" s="9" t="str">
        <x:v>https://poly.cam/</x:v>
      </x:c>
      <x:c r="F15" s="9" t="str">
        <x:v>Research</x:v>
      </x:c>
      <x:c r="G15" s="9" t="str">
        <x:v>Planned</x:v>
      </x:c>
    </x:row>
  </x:sheetData>
  <x:mergeCells>
    <x:mergeCell ref="A1:G1"/>
    <x:mergeCell ref="A2:G2"/>
  </x:mergeCells>
  <x:dataValidations count="1">
    <x:dataValidation type="list" sqref="G6:G30">
      <x:formula1>"Planned,In Research,Reviewed,Excluded"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fb9fe7ae59174218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8" hidden="0" customWidth="1"/>
    <x:col min="3" max="3" width="4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16" hidden="0" customWidth="1"/>
    <x:col min="11" max="11" width="16" hidden="0" customWidth="1"/>
    <x:col min="12" max="12" width="32" hidden="0" customWidth="1"/>
    <x:col min="13" max="13" width="24" hidden="0" customWidth="1"/>
    <x:col min="14" max="14" width="12" hidden="0" customWidth="1"/>
    <x:col min="15" max="15" width="45" hidden="0" customWidth="1"/>
  </x:cols>
  <x:sheetData>
    <x:row r="1" ht="36" customHeight="1">
      <x:c r="A1" s="3" t="str">
        <x:v>2D Image API Scorecard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</x:row>
    <x:row r="2" ht="24" customHeight="1">
      <x:c r="A2" s="6" t="str">
        <x:v>围绕照片风格化核对官方能力与条款，并用授权样本做小规模实测。评分 1–5，Weighted Score 自动计算。</x:v>
      </x:c>
      <x:c r="B2" s="6"/>
      <x:c r="C2" s="6"/>
      <x:c r="D2" s="6"/>
      <x:c r="E2" s="6"/>
      <x:c r="F2" s="6"/>
      <x:c r="G2" s="6"/>
      <x:c r="H2" s="6"/>
      <x:c r="I2" s="6"/>
      <x:c r="J2" s="6"/>
      <x:c r="K2" s="6"/>
      <x:c r="L2" s="6"/>
      <x:c r="M2" s="6"/>
      <x:c r="N2" s="6"/>
    </x:row>
    <x:row r="5" ht="32" customHeight="1">
      <x:c r="A5" s="13" t="str">
        <x:v>Provider</x:v>
      </x:c>
      <x:c r="B5" s="13" t="str">
        <x:v>Latest Eligible Endpoint</x:v>
      </x:c>
      <x:c r="C5" s="13" t="str">
        <x:v>Official Docs</x:v>
      </x:c>
      <x:c r="D5" s="13" t="str">
        <x:v>Subject Fidelity</x:v>
      </x:c>
      <x:c r="E5" s="13" t="str">
        <x:v>Style Control</x:v>
      </x:c>
      <x:c r="F5" s="13" t="str">
        <x:v>Latency &amp; Reliability</x:v>
      </x:c>
      <x:c r="G5" s="13" t="str">
        <x:v>Unit Cost</x:v>
      </x:c>
      <x:c r="H5" s="13" t="str">
        <x:v>Privacy &amp; Retention</x:v>
      </x:c>
      <x:c r="I5" s="13" t="str">
        <x:v>Commercial &amp; Safety</x:v>
      </x:c>
      <x:c r="J5" s="13" t="str">
        <x:v>Weighted Score</x:v>
      </x:c>
      <x:c r="K5" s="13" t="str">
        <x:v>Status</x:v>
      </x:c>
      <x:c r="L5" s="13" t="str">
        <x:v>Notes</x:v>
      </x:c>
      <x:c r="M5" s="13" t="str">
        <x:v>Criterion</x:v>
      </x:c>
      <x:c r="N5" s="13" t="str">
        <x:v>Weight</x:v>
      </x:c>
      <x:c r="O5" s="13" t="str">
        <x:v>Definition</x:v>
      </x:c>
    </x:row>
    <x:row r="6" ht="50" customHeight="1">
      <x:c r="A6" s="9" t="str">
        <x:v>OpenAI</x:v>
      </x:c>
      <x:c r="B6" s="9" t="str">
        <x:v>待核对最新图像编辑模型</x:v>
      </x:c>
      <x:c r="C6" s="9" t="str">
        <x:v>https://platform.openai.com/docs/guides/images</x:v>
      </x:c>
      <x:c r="D6" s="9" t="str"/>
      <x:c r="E6" s="9" t="str"/>
      <x:c r="F6" s="9" t="str"/>
      <x:c r="G6" s="9" t="str"/>
      <x:c r="H6" s="9" t="str"/>
      <x:c r="I6" s="9" t="str"/>
      <x:c r="J6" s="37" t="str">
        <x:f>IF(COUNT(D6:I6)&lt;ROWS($N$6:$N$11),"",SUMPRODUCT(D6:I6,$N$6:$N$11))</x:f>
      </x:c>
      <x:c r="K6" s="9" t="str">
        <x:v>Planned</x:v>
      </x:c>
      <x:c r="L6" s="9" t="str">
        <x:v>只用官方文档；Week 1 不调用 API。</x:v>
      </x:c>
      <x:c r="M6" s="9" t="str">
        <x:v>主体/身份保真</x:v>
      </x:c>
      <x:c r="N6" s="36" t="n">
        <x:v>0.25</x:v>
      </x:c>
      <x:c r="O6" s="9" t="str">
        <x:v>物体轮廓、人物身份与关键细节不被错误改写</x:v>
      </x:c>
    </x:row>
    <x:row r="7" ht="50" customHeight="1">
      <x:c r="A7" s="9" t="str">
        <x:v>Google</x:v>
      </x:c>
      <x:c r="B7" s="9" t="str">
        <x:v>待核对最新图像生成/编辑模型</x:v>
      </x:c>
      <x:c r="C7" s="9" t="str">
        <x:v>https://ai.google.dev/gemini-api/docs/image-generation</x:v>
      </x:c>
      <x:c r="D7" s="9" t="str"/>
      <x:c r="E7" s="9" t="str"/>
      <x:c r="F7" s="9" t="str"/>
      <x:c r="G7" s="9" t="str"/>
      <x:c r="H7" s="9" t="str"/>
      <x:c r="I7" s="9" t="str"/>
      <x:c r="J7" s="37" t="str">
        <x:f>IF(COUNT(D7:I7)&lt;ROWS($N$6:$N$11),"",SUMPRODUCT(D7:I7,$N$6:$N$11))</x:f>
      </x:c>
      <x:c r="K7" s="9" t="str">
        <x:v>Planned</x:v>
      </x:c>
      <x:c r="L7" s="9" t="str">
        <x:v>核对地区、输入输出和数据使用条款。</x:v>
      </x:c>
      <x:c r="M7" s="9" t="str">
        <x:v>风格控制</x:v>
      </x:c>
      <x:c r="N7" s="36" t="n">
        <x:v>0.2</x:v>
      </x:c>
      <x:c r="O7" s="9" t="str">
        <x:v>预设之间可辨识，强度与禁止变化可控制</x:v>
      </x:c>
    </x:row>
    <x:row r="8" ht="50" customHeight="1">
      <x:c r="A8" s="9" t="str">
        <x:v>Stability AI</x:v>
      </x:c>
      <x:c r="B8" s="9" t="str">
        <x:v>待核对最新图像编辑模型</x:v>
      </x:c>
      <x:c r="C8" s="9" t="str">
        <x:v>https://platform.stability.ai/docs</x:v>
      </x:c>
      <x:c r="D8" s="9" t="str"/>
      <x:c r="E8" s="9" t="str"/>
      <x:c r="F8" s="9" t="str"/>
      <x:c r="G8" s="9" t="str"/>
      <x:c r="H8" s="9" t="str"/>
      <x:c r="I8" s="9" t="str"/>
      <x:c r="J8" s="37" t="str">
        <x:f>IF(COUNT(D8:I8)&lt;ROWS($N$6:$N$11),"",SUMPRODUCT(D8:I8,$N$6:$N$11))</x:f>
      </x:c>
      <x:c r="K8" s="9" t="str">
        <x:v>Planned</x:v>
      </x:c>
      <x:c r="L8" s="9" t="str">
        <x:v>核对风格控制与商业权利。</x:v>
      </x:c>
      <x:c r="M8" s="9" t="str">
        <x:v>延迟与稳定性</x:v>
      </x:c>
      <x:c r="N8" s="36" t="n">
        <x:v>0.15</x:v>
      </x:c>
      <x:c r="O8" s="9" t="str">
        <x:v>P50/P95、失败率、重试行为可接受</x:v>
      </x:c>
    </x:row>
    <x:row r="9" ht="50" customHeight="1">
      <x:c r="A9" s="9" t="str">
        <x:v>Adobe Firefly Services</x:v>
      </x:c>
      <x:c r="B9" s="9" t="str">
        <x:v>待核对最新 API</x:v>
      </x:c>
      <x:c r="C9" s="9" t="str">
        <x:v>https://developer.adobe.com/firefly-services/docs/</x:v>
      </x:c>
      <x:c r="D9" s="9" t="str"/>
      <x:c r="E9" s="9" t="str"/>
      <x:c r="F9" s="9" t="str"/>
      <x:c r="G9" s="9" t="str"/>
      <x:c r="H9" s="9" t="str"/>
      <x:c r="I9" s="9" t="str"/>
      <x:c r="J9" s="37" t="str">
        <x:f>IF(COUNT(D9:I9)&lt;ROWS($N$6:$N$11),"",SUMPRODUCT(D9:I9,$N$6:$N$11))</x:f>
      </x:c>
      <x:c r="K9" s="9" t="str">
        <x:v>Planned</x:v>
      </x:c>
      <x:c r="L9" s="9" t="str">
        <x:v>核对内容凭证和企业条款。</x:v>
      </x:c>
      <x:c r="M9" s="9" t="str">
        <x:v>单位成本</x:v>
      </x:c>
      <x:c r="N9" s="36" t="n">
        <x:v>0.15</x:v>
      </x:c>
      <x:c r="O9" s="9" t="str">
        <x:v>按目标分辨率和调用量估算单张成本</x:v>
      </x:c>
    </x:row>
    <x:row r="10">
      <x:c r="M10" s="9" t="str">
        <x:v>隐私与保留</x:v>
      </x:c>
      <x:c r="N10" s="36" t="n">
        <x:v>0.15</x:v>
      </x:c>
      <x:c r="O10" s="9" t="str">
        <x:v>客户图片使用、保留、删除和区域符合要求</x:v>
      </x:c>
    </x:row>
    <x:row r="11">
      <x:c r="M11" s="9" t="str">
        <x:v>商业与安全</x:v>
      </x:c>
      <x:c r="N11" s="36" t="n">
        <x:v>0.1</x:v>
      </x:c>
      <x:c r="O11" s="9" t="str">
        <x:v>商业权利、安全过滤、人物/未成年人处理清楚</x:v>
      </x:c>
    </x:row>
  </x:sheetData>
  <x:mergeCells>
    <x:mergeCell ref="A1:N1"/>
    <x:mergeCell ref="A2:N2"/>
  </x:mergeCells>
  <x:dataValidations count="2">
    <x:dataValidation type="whole" operator="between" sqref="D6:I20">
      <x:formula1>1</x:formula1>
      <x:formula2>5</x:formula2>
    </x:dataValidation>
    <x:dataValidation type="list" sqref="K6:K20">
      <x:formula1>"Planned,Desk Reviewed,Ready for Spike,Rejected"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cc255131cbda4275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30" hidden="0" customWidth="1"/>
    <x:col min="3" max="3" width="27" hidden="0" customWidth="1"/>
    <x:col min="4" max="4" width="36" hidden="0" customWidth="1"/>
    <x:col min="5" max="5" width="14" hidden="0" customWidth="1"/>
    <x:col min="6" max="6" width="14" hidden="0" customWidth="1"/>
  </x:cols>
  <x:sheetData>
    <x:row r="1" ht="36" customHeight="1">
      <x:c r="A1" s="3" t="str">
        <x:v>Style Hypotheses &amp; Evaluation Dataset</x:v>
      </x:c>
      <x:c r="B1" s="3"/>
      <x:c r="C1" s="3"/>
      <x:c r="D1" s="3"/>
      <x:c r="E1" s="3"/>
      <x:c r="F1" s="3"/>
    </x:row>
    <x:row r="2" ht="24" customHeight="1">
      <x:c r="A2" s="6" t="str">
        <x:v>首周定义风格方向和 12 张授权样本结构；优先验证 2D 结果是否稳定、保真且值得保存。</x:v>
      </x:c>
      <x:c r="B2" s="6"/>
      <x:c r="C2" s="6"/>
      <x:c r="D2" s="6"/>
      <x:c r="E2" s="6"/>
      <x:c r="F2" s="6"/>
    </x:row>
    <x:row r="5" ht="32" customHeight="1">
      <x:c r="A5" s="13" t="str">
        <x:v>Style Hypothesis</x:v>
      </x:c>
      <x:c r="B5" s="13" t="str">
        <x:v>Intended Feeling</x:v>
      </x:c>
      <x:c r="C5" s="13" t="str">
        <x:v>Best-fit Photos</x:v>
      </x:c>
      <x:c r="D5" s="13" t="str">
        <x:v>Must Not Change</x:v>
      </x:c>
      <x:c r="E5" s="13" t="str">
        <x:v>Backlog ID</x:v>
      </x:c>
      <x:c r="F5" s="13" t="str">
        <x:v>Status</x:v>
      </x:c>
    </x:row>
    <x:row r="6" ht="44" customHeight="1">
      <x:c r="A6" s="9" t="str">
        <x:v>Museum Archive</x:v>
      </x:c>
      <x:c r="B6" s="9" t="str">
        <x:v>克制、清晰、像馆藏目录</x:v>
      </x:c>
      <x:c r="C6" s="9" t="str">
        <x:v>纪念品、建筑、静物</x:v>
      </x:c>
      <x:c r="D6" s="9" t="str">
        <x:v>主体颜色与文字可读性</x:v>
      </x:c>
      <x:c r="E6" s="9" t="str">
        <x:v>W1-07</x:v>
      </x:c>
      <x:c r="F6" s="9" t="str">
        <x:v>Hypothesis</x:v>
      </x:c>
    </x:row>
    <x:row r="7" ht="44" customHeight="1">
      <x:c r="A7" s="9" t="str">
        <x:v>Vintage Postcard</x:v>
      </x:c>
      <x:c r="B7" s="9" t="str">
        <x:v>温暖、怀旧、旅行感</x:v>
      </x:c>
      <x:c r="C7" s="9" t="str">
        <x:v>城市、风景、合照</x:v>
      </x:c>
      <x:c r="D7" s="9" t="str">
        <x:v>人脸身份与地标结构</x:v>
      </x:c>
      <x:c r="E7" s="9" t="str">
        <x:v>W1-07</x:v>
      </x:c>
      <x:c r="F7" s="9" t="str">
        <x:v>Hypothesis</x:v>
      </x:c>
    </x:row>
    <x:row r="8" ht="44" customHeight="1">
      <x:c r="A8" s="9" t="str">
        <x:v>Watercolor Journal</x:v>
      </x:c>
      <x:c r="B8" s="9" t="str">
        <x:v>轻盈、手作、日记感</x:v>
      </x:c>
      <x:c r="C8" s="9" t="str">
        <x:v>风景、食物、单人照</x:v>
      </x:c>
      <x:c r="D8" s="9" t="str">
        <x:v>构图和主体轮廓</x:v>
      </x:c>
      <x:c r="E8" s="9" t="str">
        <x:v>W1-07</x:v>
      </x:c>
      <x:c r="F8" s="9" t="str">
        <x:v>Hypothesis</x:v>
      </x:c>
    </x:row>
    <x:row r="9" ht="44" customHeight="1">
      <x:c r="A9" s="9" t="str">
        <x:v>Editorial Collage</x:v>
      </x:c>
      <x:c r="B9" s="9" t="str">
        <x:v>现代、策展、杂志感</x:v>
      </x:c>
      <x:c r="C9" s="9" t="str">
        <x:v>合照、建筑、纪念品</x:v>
      </x:c>
      <x:c r="D9" s="9" t="str">
        <x:v>关键元素不能被裁掉</x:v>
      </x:c>
      <x:c r="E9" s="9" t="str">
        <x:v>W1-07</x:v>
      </x:c>
      <x:c r="F9" s="9" t="str">
        <x:v>Hypothesis</x:v>
      </x:c>
    </x:row>
    <x:row r="10" ht="44" customHeight="1">
      <x:c r="A10" s="9" t="str">
        <x:v>Clay Miniature</x:v>
      </x:c>
      <x:c r="B10" s="9" t="str">
        <x:v>有趣、立体、收藏玩具感</x:v>
      </x:c>
      <x:c r="C10" s="9" t="str">
        <x:v>纪念品、食物、宠物</x:v>
      </x:c>
      <x:c r="D10" s="9" t="str">
        <x:v>数量、配件和主体身份</x:v>
      </x:c>
      <x:c r="E10" s="9" t="str">
        <x:v>W1-07</x:v>
      </x:c>
      <x:c r="F10" s="9" t="str">
        <x:v>Hypothesis</x:v>
      </x:c>
    </x:row>
    <x:row r="11" ht="44" customHeight="1">
      <x:c r="A11" s="9" t="str">
        <x:v>Graphic Travel Poster</x:v>
      </x:c>
      <x:c r="B11" s="9" t="str">
        <x:v>鲜明、分享友好、目的地感</x:v>
      </x:c>
      <x:c r="C11" s="9" t="str">
        <x:v>地标、风景、城市照</x:v>
      </x:c>
      <x:c r="D11" s="9" t="str">
        <x:v>地标轮廓与文字准确性</x:v>
      </x:c>
      <x:c r="E11" s="9" t="str">
        <x:v>W1-07</x:v>
      </x:c>
      <x:c r="F11" s="9" t="str">
        <x:v>Hypothesis</x:v>
      </x:c>
    </x:row>
    <x:row r="14" ht="32" customHeight="1">
      <x:c r="A14" s="13" t="str">
        <x:v>Sample Segment</x:v>
      </x:c>
      <x:c r="B14" s="13" t="str">
        <x:v>Target Count</x:v>
      </x:c>
      <x:c r="C14" s="13" t="str">
        <x:v>Known Challenge</x:v>
      </x:c>
      <x:c r="D14" s="13" t="str">
        <x:v>Must Preserve</x:v>
      </x:c>
      <x:c r="E14" s="13" t="str">
        <x:v>Consent / License</x:v>
      </x:c>
      <x:c r="F14" s="13" t="str">
        <x:v>Status</x:v>
      </x:c>
    </x:row>
    <x:row r="15" ht="48" customHeight="1">
      <x:c r="A15" s="9" t="str">
        <x:v>Portrait — single traveler</x:v>
      </x:c>
      <x:c r="B15" s="38" t="n">
        <x:v>3</x:v>
      </x:c>
      <x:c r="C15" s="9" t="str">
        <x:v>肤色、发型、眼镜、年龄与身份一致性</x:v>
      </x:c>
      <x:c r="D15" s="9" t="str">
        <x:v>人物身份、表情、服饰主色</x:v>
      </x:c>
      <x:c r="E15" s="9" t="str">
        <x:v>必须取得本人明确授权</x:v>
      </x:c>
      <x:c r="F15" s="9" t="str">
        <x:v>Planned</x:v>
      </x:c>
    </x:row>
    <x:row r="16" ht="48" customHeight="1">
      <x:c r="A16" s="9" t="str">
        <x:v>Group / selfie</x:v>
      </x:c>
      <x:c r="B16" s="38" t="n">
        <x:v>2</x:v>
      </x:c>
      <x:c r="C16" s="9" t="str">
        <x:v>多人身份、遮挡、手部和边缘人物</x:v>
      </x:c>
      <x:c r="D16" s="9" t="str">
        <x:v>人数、每张脸、构图</x:v>
      </x:c>
      <x:c r="E16" s="9" t="str">
        <x:v>所有可识别人物需授权</x:v>
      </x:c>
      <x:c r="F16" s="9" t="str">
        <x:v>Planned</x:v>
      </x:c>
    </x:row>
    <x:row r="17" ht="48" customHeight="1">
      <x:c r="A17" s="9" t="str">
        <x:v>Landscape / architecture</x:v>
      </x:c>
      <x:c r="B17" s="38" t="n">
        <x:v>2</x:v>
      </x:c>
      <x:c r="C17" s="9" t="str">
        <x:v>地标结构、天空、细线条、远景</x:v>
      </x:c>
      <x:c r="D17" s="9" t="str">
        <x:v>主要地标与地平线</x:v>
      </x:c>
      <x:c r="E17" s="9" t="str">
        <x:v>团队自有或授权素材</x:v>
      </x:c>
      <x:c r="F17" s="9" t="str">
        <x:v>Planned</x:v>
      </x:c>
    </x:row>
    <x:row r="18" ht="48" customHeight="1">
      <x:c r="A18" s="9" t="str">
        <x:v>Food / interior</x:v>
      </x:c>
      <x:c r="B18" s="38" t="n">
        <x:v>2</x:v>
      </x:c>
      <x:c r="C18" s="9" t="str">
        <x:v>材质、餐具数量、室内光线</x:v>
      </x:c>
      <x:c r="D18" s="9" t="str">
        <x:v>食物类型与空间结构</x:v>
      </x:c>
      <x:c r="E18" s="9" t="str">
        <x:v>团队自有或授权素材</x:v>
      </x:c>
      <x:c r="F18" s="9" t="str">
        <x:v>Planned</x:v>
      </x:c>
    </x:row>
    <x:row r="19" ht="48" customHeight="1">
      <x:c r="A19" s="9" t="str">
        <x:v>Souvenir / object</x:v>
      </x:c>
      <x:c r="B19" s="38" t="n">
        <x:v>2</x:v>
      </x:c>
      <x:c r="C19" s="9" t="str">
        <x:v>文字、反光、透明材质、小细节</x:v>
      </x:c>
      <x:c r="D19" s="9" t="str">
        <x:v>物体形状、文字和配件</x:v>
      </x:c>
      <x:c r="E19" s="9" t="str">
        <x:v>团队自有物品与照片</x:v>
      </x:c>
      <x:c r="F19" s="9" t="str">
        <x:v>Planned</x:v>
      </x:c>
    </x:row>
    <x:row r="20" ht="48" customHeight="1">
      <x:c r="A20" s="9" t="str">
        <x:v>Low light / motion</x:v>
      </x:c>
      <x:c r="B20" s="38" t="n">
        <x:v>1</x:v>
      </x:c>
      <x:c r="C20" s="9" t="str">
        <x:v>噪点、模糊、颜色偏差</x:v>
      </x:c>
      <x:c r="D20" s="9" t="str">
        <x:v>主体可识别性与构图</x:v>
      </x:c>
      <x:c r="E20" s="9" t="str">
        <x:v>团队自有或授权素材</x:v>
      </x:c>
      <x:c r="F20" s="9" t="str">
        <x:v>Planned</x:v>
      </x:c>
    </x:row>
    <x:row r="22">
      <x:c r="A22" s="41" t="str">
        <x:v>Planned photo total</x:v>
      </x:c>
      <x:c r="B22" s="42" t="n">
        <x:f>SUM(B15:B20)</x:f>
        <x:v>12</x:v>
      </x:c>
    </x:row>
  </x:sheetData>
  <x:mergeCells>
    <x:mergeCell ref="A1:F1"/>
    <x:mergeCell ref="A2:F2"/>
  </x:mergeCells>
  <x:dataValidations count="2">
    <x:dataValidation type="list" sqref="F6:F20">
      <x:formula1>"Hypothesis,Selected for Spike,Deferred,Rejected"</x:formula1>
    </x:dataValidation>
    <x:dataValidation type="list" sqref="F15:F30">
      <x:formula1>"Planned,Sourced,Consent Checked,Ready"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0" hidden="0" customWidth="1"/>
    <x:col min="2" max="2" width="32" hidden="0" customWidth="1"/>
    <x:col min="3" max="3" width="42" hidden="0" customWidth="1"/>
    <x:col min="4" max="4" width="24" hidden="0" customWidth="1"/>
    <x:col min="5" max="5" width="14" hidden="0" customWidth="1"/>
    <x:col min="6" max="6" width="14" hidden="0" customWidth="1"/>
    <x:col min="7" max="7" width="36" hidden="0" customWidth="1"/>
  </x:cols>
  <x:sheetData>
    <x:row r="1" ht="36" customHeight="1">
      <x:c r="A1" s="3" t="str">
        <x:v>Friday Decision Gate</x:v>
      </x:c>
      <x:c r="B1" s="3"/>
      <x:c r="C1" s="3"/>
      <x:c r="D1" s="3"/>
      <x:c r="E1" s="3"/>
      <x:c r="F1" s="3"/>
      <x:c r="G1" s="3"/>
    </x:row>
    <x:row r="2" ht="24" customHeight="1">
      <x:c r="A2" s="6" t="str">
        <x:v>Week 2 以 2D 主线为默认；Tripo 3D 是否继续只由直接上传测试结果决定。</x:v>
      </x:c>
      <x:c r="B2" s="6"/>
      <x:c r="C2" s="6"/>
      <x:c r="D2" s="6"/>
      <x:c r="E2" s="6"/>
      <x:c r="F2" s="6"/>
      <x:c r="G2" s="6"/>
    </x:row>
    <x:row r="5" ht="32" customHeight="1">
      <x:c r="A5" s="13" t="str">
        <x:v>ID</x:v>
      </x:c>
      <x:c r="B5" s="13" t="str">
        <x:v>Decision</x:v>
      </x:c>
      <x:c r="C5" s="13" t="str">
        <x:v>Evidence Required</x:v>
      </x:c>
      <x:c r="D5" s="13" t="str">
        <x:v>Owner</x:v>
      </x:c>
      <x:c r="E5" s="13" t="str">
        <x:v>Due</x:v>
      </x:c>
      <x:c r="F5" s="13" t="str">
        <x:v>Status</x:v>
      </x:c>
      <x:c r="G5" s="13" t="str">
        <x:v>Decision Options / Output</x:v>
      </x:c>
    </x:row>
    <x:row r="6" ht="54" customHeight="1">
      <x:c r="A6" s="9" t="str">
        <x:v>G-01</x:v>
      </x:c>
      <x:c r="B6" s="9" t="str">
        <x:v>哪个 2D API 进入 Week 2？</x:v>
      </x:c>
      <x:c r="C6" s="9" t="str">
        <x:v>W1-03 官方资料 + W1-05 实测结果</x:v>
      </x:c>
      <x:c r="D6" s="9" t="str">
        <x:v>Backend + Product</x:v>
      </x:c>
      <x:c r="E6" s="9" t="str">
        <x:v>Friday</x:v>
      </x:c>
      <x:c r="F6" s="9" t="str">
        <x:v>Open</x:v>
      </x:c>
      <x:c r="G6" s="9" t="str">
        <x:v>选择 1 个主候选，最多保留 1 个备选</x:v>
      </x:c>
    </x:row>
    <x:row r="7" ht="54" customHeight="1">
      <x:c r="A7" s="9" t="str">
        <x:v>G-02</x:v>
      </x:c>
      <x:c r="B7" s="9" t="str">
        <x:v>首批 2D 风格与核心流程是什么？</x:v>
      </x:c>
      <x:c r="C7" s="9" t="str">
        <x:v>W1-02 竞品结论 + W1-05 结果 + W1-07 流程</x:v>
      </x:c>
      <x:c r="D7" s="9" t="str">
        <x:v>Product + Design</x:v>
      </x:c>
      <x:c r="E7" s="9" t="str">
        <x:v>Friday</x:v>
      </x:c>
      <x:c r="F7" s="9" t="str">
        <x:v>Open</x:v>
      </x:c>
      <x:c r="G7" s="9" t="str">
        <x:v>确定 3–4 个风格和 1 条主流程</x:v>
      </x:c>
    </x:row>
    <x:row r="8" ht="54" customHeight="1">
      <x:c r="A8" s="9" t="str">
        <x:v>G-03</x:v>
      </x:c>
      <x:c r="B8" s="9" t="str">
        <x:v>客户图片的数据规则是什么？</x:v>
      </x:c>
      <x:c r="C8" s="9" t="str">
        <x:v>保留、训练、删除、区域与授权要求</x:v>
      </x:c>
      <x:c r="D8" s="9" t="str">
        <x:v>Product + Backend</x:v>
      </x:c>
      <x:c r="E8" s="9" t="str">
        <x:v>Friday</x:v>
      </x:c>
      <x:c r="F8" s="9" t="str">
        <x:v>Open</x:v>
      </x:c>
      <x:c r="G8" s="9" t="str">
        <x:v>明确禁止项与需法务确认项</x:v>
      </x:c>
    </x:row>
    <x:row r="9" ht="54" customHeight="1">
      <x:c r="A9" s="9" t="str">
        <x:v>G-04</x:v>
      </x:c>
      <x:c r="B9" s="9" t="str">
        <x:v>Tripo 3D 是否保留为可选增强？</x:v>
      </x:c>
      <x:c r="C9" s="9" t="str">
        <x:v>W1-06 直接上传测试的稳定性、成本与结果</x:v>
      </x:c>
      <x:c r="D9" s="9" t="str">
        <x:v>Product + Backend</x:v>
      </x:c>
      <x:c r="E9" s="9" t="str">
        <x:v>Friday</x:v>
      </x:c>
      <x:c r="F9" s="9" t="str">
        <x:v>Open</x:v>
      </x:c>
      <x:c r="G9" s="9" t="str">
        <x:v>继续可选 / 延后 / 移除</x:v>
      </x:c>
    </x:row>
  </x:sheetData>
  <x:mergeCells>
    <x:mergeCell ref="A1:G1"/>
    <x:mergeCell ref="A2:G2"/>
  </x:mergeCells>
  <x:conditionalFormatting sqref="F6:F20">
    <x:cfRule type="containsText" dxfId="4" priority="1" operator="containsText" text="Open"/>
    <x:cfRule type="containsText" dxfId="5" priority="2" operator="containsText" text="Decided"/>
  </x:conditionalFormatting>
  <x:dataValidations count="1">
    <x:dataValidation type="list" sqref="F6:F20">
      <x:formula1>"Open,Proposed,Decided,Deferred"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21bf4dd9a987471e"/>
  </x:tableParts>
</x:worksheet>
</file>