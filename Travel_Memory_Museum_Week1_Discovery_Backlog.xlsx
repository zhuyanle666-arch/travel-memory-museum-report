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9d16490fe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0d4f785716e43ba"/>
    <x:sheet xmlns:r="http://schemas.openxmlformats.org/officeDocument/2006/relationships" name="Week 1 Backlog" sheetId="2" r:id="R060268846980430f"/>
    <x:sheet xmlns:r="http://schemas.openxmlformats.org/officeDocument/2006/relationships" name="Competitor Scope" sheetId="3" r:id="R16a58cc1134c4843"/>
    <x:sheet xmlns:r="http://schemas.openxmlformats.org/officeDocument/2006/relationships" name="API Scorecard" sheetId="4" r:id="R55400518a89f4758"/>
    <x:sheet xmlns:r="http://schemas.openxmlformats.org/officeDocument/2006/relationships" name="Style &amp; Eval" sheetId="5" r:id="R961eb3eae7b14453"/>
    <x:sheet xmlns:r="http://schemas.openxmlformats.org/officeDocument/2006/relationships" name="Decision Gate" sheetId="6" r:id="R42534bd02d13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%"/>
    <x:numFmt numFmtId="202" formatCode="0.00"/>
    <x:numFmt numFmtId="203" formatCode="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6757B"/>
      <x:name val="Carlito"/>
    </x:font>
    <x:font>
      <x:sz val="10"/>
      <x:color rgb="FF243238"/>
      <x:name val="Arial"/>
    </x:font>
    <x:font>
      <x:b/>
      <x:sz val="10"/>
      <x:color rgb="FFFFFFFF"/>
      <x:name val="Arial"/>
    </x:font>
    <x:font>
      <x:b/>
      <x:sz val="20"/>
      <x:color rgb="FF3F7C78"/>
      <x:name val="Carlito"/>
    </x:font>
    <x:font>
      <x:b/>
      <x:sz val="9"/>
      <x:color rgb="FF66757B"/>
      <x:name val="Carlito"/>
    </x:font>
    <x:font>
      <x:b/>
      <x:sz val="12"/>
      <x:color rgb="FF243238"/>
      <x:name val="Carlito"/>
    </x:font>
    <x:font>
      <x:sz val="10"/>
      <x:color rgb="FF243238"/>
      <x:name val="Carlito"/>
    </x:font>
    <x:font>
      <x:b/>
      <x:sz val="11"/>
      <x:color rgb="FF24323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4EFE6"/>
      </x:patternFill>
    </x:fill>
    <x:fill>
      <x:patternFill patternType="solid">
        <x:fgColor rgb="FF3F7C78"/>
      </x:patternFill>
    </x:fill>
    <x:fill>
      <x:patternFill patternType="solid">
        <x:fgColor rgb="FFF7F9F9"/>
      </x:patternFill>
    </x:fill>
    <x:fill>
      <x:patternFill patternType="solid">
        <x:fgColor rgb="FFDCEAE8"/>
      </x:patternFill>
    </x:fill>
  </x:fills>
  <x:borders count="7">
    <x:border/>
    <x:border>
      <x:left style="thin">
        <x:color rgb="FFD9E0E2"/>
      </x:left>
      <x:top style="thin">
        <x:color rgb="FFD9E0E2"/>
      </x:top>
    </x:border>
    <x:border>
      <x:right style="thin">
        <x:color rgb="FFD9E0E2"/>
      </x:right>
      <x:top style="thin">
        <x:color rgb="FFD9E0E2"/>
      </x:top>
    </x:border>
    <x:border>
      <x:left style="thin">
        <x:color rgb="FFD9E0E2"/>
      </x:left>
      <x:bottom style="thin">
        <x:color rgb="FFD9E0E2"/>
      </x:bottom>
    </x:border>
    <x:border>
      <x:right style="thin">
        <x:color rgb="FFD9E0E2"/>
      </x:right>
      <x:bottom style="thin">
        <x:color rgb="FFD9E0E2"/>
      </x:bottom>
    </x:border>
    <x:border>
      <x:left style="thin">
        <x:color rgb="FF3F7C78"/>
      </x:left>
      <x:top style="thin">
        <x:color rgb="FF3F7C78"/>
      </x:top>
      <x:bottom style="thin">
        <x:color rgb="FF3F7C78"/>
      </x:bottom>
    </x:border>
    <x:border>
      <x:right style="thin">
        <x:color rgb="FF3F7C78"/>
      </x:right>
      <x:top style="thin">
        <x:color rgb="FF3F7C78"/>
      </x:top>
      <x:bottom style="thin">
        <x:color rgb="FF3F7C78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</x:cellXfs>
  <x:cellStyles count="1">
    <x:cellStyle name="Normal" xfId="0"/>
  </x:cellStyles>
  <x:dxfs count="6">
    <x:dxf>
      <x:font>
        <x:b/>
        <x:color rgb="FF8E3B2E"/>
      </x:font>
      <x:fill>
        <x:patternFill patternType="solid">
          <x:bgColor rgb="FFFBE7E1"/>
        </x:patternFill>
      </x:fill>
    </x:dxf>
    <x:dxf>
      <x:font>
        <x:color rgb="FF775718"/>
      </x:font>
      <x:fill>
        <x:patternFill patternType="solid">
          <x:bgColor rgb="FFFFF3D8"/>
        </x:patternFill>
      </x:fill>
    </x:dxf>
    <x:dxf>
      <x:font>
        <x:b/>
        <x:color rgb="FF27643A"/>
      </x:font>
      <x:fill>
        <x:patternFill patternType="solid">
          <x:bgColor rgb="FFE5F2E8"/>
        </x:patternFill>
      </x:fill>
    </x:dxf>
    <x:dxf>
      <x:font>
        <x:b/>
        <x:color rgb="FF8E3B2E"/>
      </x:font>
      <x:fill>
        <x:patternFill patternType="solid">
          <x:bgColor rgb="FFFBE7E1"/>
        </x:patternFill>
      </x:fill>
    </x:dxf>
    <x:dxf>
      <x:font>
        <x:b/>
        <x:color rgb="FF8E3B2E"/>
      </x:font>
      <x:fill>
        <x:patternFill patternType="solid">
          <x:bgColor rgb="FFFBE7E1"/>
        </x:patternFill>
      </x:fill>
    </x:dxf>
    <x:dxf>
      <x:font>
        <x:b/>
        <x:color rgb="FF27643A"/>
      </x:font>
      <x:fill>
        <x:patternFill patternType="solid">
          <x:bgColor rgb="FFE5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fb97e61944648" /><Relationship Type="http://schemas.openxmlformats.org/officeDocument/2006/relationships/theme" Target="/xl/theme/theme1.xml" Id="R13140e4b28844447" /><Relationship Type="http://schemas.openxmlformats.org/officeDocument/2006/relationships/sharedStrings" Target="/xl/sharedStrings.xml" Id="Rc911d71773534183" /><Relationship Type="http://schemas.openxmlformats.org/officeDocument/2006/relationships/worksheet" Target="/xl/worksheets/sheet1.xml" Id="Rb0d4f785716e43ba" /><Relationship Type="http://schemas.openxmlformats.org/officeDocument/2006/relationships/worksheet" Target="/xl/worksheets/sheet2.xml" Id="R060268846980430f" /><Relationship Type="http://schemas.openxmlformats.org/officeDocument/2006/relationships/worksheet" Target="/xl/worksheets/sheet3.xml" Id="R16a58cc1134c4843" /><Relationship Type="http://schemas.openxmlformats.org/officeDocument/2006/relationships/worksheet" Target="/xl/worksheets/sheet4.xml" Id="R55400518a89f4758" /><Relationship Type="http://schemas.openxmlformats.org/officeDocument/2006/relationships/worksheet" Target="/xl/worksheets/sheet5.xml" Id="R961eb3eae7b14453" /><Relationship Type="http://schemas.openxmlformats.org/officeDocument/2006/relationships/worksheet" Target="/xl/worksheets/sheet6.xml" Id="R42534bd02d1340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8c867529cc41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Discovery workload by day (team hours)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Planned Hours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'Dashboard'!$B$9:$B$13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c867529cc41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1DiscoveryBacklog" displayName="Week1DiscoveryBacklog" ref="A5:N28" headerRowCount="1">
  <x:autoFilter ref="A5:N28"/>
  <x:tableColumns count="14">
    <x:tableColumn id="1" name="ID"/>
    <x:tableColumn id="2" name="Day"/>
    <x:tableColumn id="3" name="Workstream"/>
    <x:tableColumn id="4" name="Priority"/>
    <x:tableColumn id="5" name="Type"/>
    <x:tableColumn id="6" name="Task"/>
    <x:tableColumn id="7" name="Why now"/>
    <x:tableColumn id="8" name="Acceptance Criteria"/>
    <x:tableColumn id="9" name="Owner"/>
    <x:tableColumn id="10" name="Est. Hours"/>
    <x:tableColumn id="11" name="Dependency"/>
    <x:tableColumn id="12" name="Expected Output"/>
    <x:tableColumn id="13" name="Status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etitorResearchScope" displayName="CompetitorResearchScope" ref="A5:G17" headerRowCount="1">
  <x:autoFilter ref="A5:G17"/>
  <x:tableColumns count="7">
    <x:tableColumn id="1" name="Candidate"/>
    <x:tableColumn id="2" name="Category"/>
    <x:tableColumn id="3" name="Hypothesis to Test"/>
    <x:tableColumn id="4" name="Evidence to Collect"/>
    <x:tableColumn id="5" name="Official Starting URL"/>
    <x:tableColumn id="6" name="Owner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PIProviderScorecard" displayName="APIProviderScorecard" ref="A5:L9" headerRowCount="1">
  <x:autoFilter ref="A5:L9"/>
  <x:tableColumns count="12">
    <x:tableColumn id="1" name="Provider"/>
    <x:tableColumn id="2" name="Latest Eligible Endpoint"/>
    <x:tableColumn id="3" name="Official Docs"/>
    <x:tableColumn id="4" name="Subject Fidelity"/>
    <x:tableColumn id="5" name="Style Control"/>
    <x:tableColumn id="6" name="Latency &amp; Reliability"/>
    <x:tableColumn id="7" name="Unit Cost"/>
    <x:tableColumn id="8" name="Privacy &amp; Retention"/>
    <x:tableColumn id="9" name="Commercial &amp; Safety"/>
    <x:tableColumn id="10" name="Weighted Score"/>
    <x:tableColumn id="11" name="Status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ridayDecisionGate" displayName="FridayDecisionGate" ref="A5:G11" headerRowCount="1">
  <x:autoFilter ref="A5:G11"/>
  <x:tableColumns count="7">
    <x:tableColumn id="1" name="ID"/>
    <x:tableColumn id="2" name="Decision"/>
    <x:tableColumn id="3" name="Evidence Required"/>
    <x:tableColumn id="4" name="Owner"/>
    <x:tableColumn id="5" name="Due"/>
    <x:tableColumn id="6" name="Status"/>
    <x:tableColumn id="7" name="Decision Options / Out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710117d3d54a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6a029de6a8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4b5c01dad043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b5bb6dea0a4a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710bf33ce0846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</x:cols>
  <x:sheetData>
    <x:row r="1" ht="36" customHeight="1">
      <x:c r="A1" s="3" t="str">
        <x:v>Week 1 · Discovery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周五目标：决定风格化功能是否进入 MVP、放在哪里、哪些 API 进入 Week 2 小样评测，以及客户图片的数据规则。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8" t="n">
        <x:f>COUNTA('Week 1 Backlog'!$A$6:$A$50)</x:f>
        <x:v>23</x:v>
      </x:c>
      <x:c r="B4" s="29"/>
      <x:c r="C4" s="28" t="n">
        <x:f>SUM('Week 1 Backlog'!$J$6:$J$50)</x:f>
        <x:v>67.5</x:v>
      </x:c>
      <x:c r="D4" s="29"/>
      <x:c r="E4" s="28" t="n">
        <x:f>COUNTIF('Week 1 Backlog'!$D$6:$D$50,"Must")</x:f>
        <x:v>20</x:v>
      </x:c>
      <x:c r="F4" s="29"/>
      <x:c r="G4" s="28" t="n">
        <x:f>COUNTIF('Decision Gate'!$F$6:$F$20,"Open")</x:f>
        <x:v>6</x:v>
      </x:c>
      <x:c r="H4" s="29"/>
    </x:row>
    <x:row r="5">
      <x:c r="A5" s="30" t="str">
        <x:v>Backlog Items</x:v>
      </x:c>
      <x:c r="B5" s="31"/>
      <x:c r="C5" s="30" t="str">
        <x:v>Planned Team Hours</x:v>
      </x:c>
      <x:c r="D5" s="31"/>
      <x:c r="E5" s="30" t="str">
        <x:v>Must Items</x:v>
      </x:c>
      <x:c r="F5" s="31"/>
      <x:c r="G5" s="30" t="str">
        <x:v>Open Friday Decisions</x:v>
      </x:c>
      <x:c r="H5" s="31"/>
    </x:row>
    <x:row r="8" ht="32" customHeight="1">
      <x:c r="A8" s="13" t="str">
        <x:v>Day</x:v>
      </x:c>
      <x:c r="B8" s="13" t="str">
        <x:v>Planned Hours</x:v>
      </x:c>
      <x:c r="D8" s="13" t="str">
        <x:v>Workstream</x:v>
      </x:c>
      <x:c r="E8" s="13" t="str">
        <x:v>Items</x:v>
      </x:c>
      <x:c r="F8" s="13" t="str">
        <x:v>Hours</x:v>
      </x:c>
    </x:row>
    <x:row r="9">
      <x:c r="A9" s="9" t="str">
        <x:v>Day 1</x:v>
      </x:c>
      <x:c r="B9" s="14" t="n">
        <x:f>SUMIF('Week 1 Backlog'!$B$6:$B$50,A9,'Week 1 Backlog'!$J$6:$J$50)</x:f>
        <x:v>9.5</x:v>
      </x:c>
      <x:c r="D9" s="9" t="str">
        <x:v>产品策略</x:v>
      </x:c>
      <x:c r="E9" s="9" t="n">
        <x:f>COUNTIF('Week 1 Backlog'!$C$6:$C$50,D9)</x:f>
        <x:v>4</x:v>
      </x:c>
      <x:c r="F9" s="14" t="n">
        <x:f>SUMIF('Week 1 Backlog'!$C$6:$C$50,D9,'Week 1 Backlog'!$J$6:$J$50)</x:f>
        <x:v>8</x:v>
      </x:c>
    </x:row>
    <x:row r="10">
      <x:c r="A10" s="9" t="str">
        <x:v>Day 2</x:v>
      </x:c>
      <x:c r="B10" s="14" t="n">
        <x:f>SUMIF('Week 1 Backlog'!$B$6:$B$50,A10,'Week 1 Backlog'!$J$6:$J$50)</x:f>
        <x:v>18</x:v>
      </x:c>
      <x:c r="D10" s="9" t="str">
        <x:v>竞品研究</x:v>
      </x:c>
      <x:c r="E10" s="9" t="n">
        <x:f>COUNTIF('Week 1 Backlog'!$C$6:$C$50,D10)</x:f>
        <x:v>6</x:v>
      </x:c>
      <x:c r="F10" s="14" t="n">
        <x:f>SUMIF('Week 1 Backlog'!$C$6:$C$50,D10,'Week 1 Backlog'!$J$6:$J$50)</x:f>
        <x:v>20</x:v>
      </x:c>
    </x:row>
    <x:row r="11">
      <x:c r="A11" s="9" t="str">
        <x:v>Day 3</x:v>
      </x:c>
      <x:c r="B11" s="14" t="n">
        <x:f>SUMIF('Week 1 Backlog'!$B$6:$B$50,A11,'Week 1 Backlog'!$J$6:$J$50)</x:f>
        <x:v>16</x:v>
      </x:c>
      <x:c r="D11" s="9" t="str">
        <x:v>API 选型</x:v>
      </x:c>
      <x:c r="E11" s="9" t="n">
        <x:f>COUNTIF('Week 1 Backlog'!$C$6:$C$50,D11)</x:f>
        <x:v>2</x:v>
      </x:c>
      <x:c r="F11" s="14" t="n">
        <x:f>SUMIF('Week 1 Backlog'!$C$6:$C$50,D11,'Week 1 Backlog'!$J$6:$J$50)</x:f>
        <x:v>7</x:v>
      </x:c>
    </x:row>
    <x:row r="12">
      <x:c r="A12" s="9" t="str">
        <x:v>Day 4</x:v>
      </x:c>
      <x:c r="B12" s="14" t="n">
        <x:f>SUMIF('Week 1 Backlog'!$B$6:$B$50,A12,'Week 1 Backlog'!$J$6:$J$50)</x:f>
        <x:v>15.5</x:v>
      </x:c>
      <x:c r="D12" s="9" t="str">
        <x:v>隐私与安全</x:v>
      </x:c>
      <x:c r="E12" s="9" t="n">
        <x:f>COUNTIF('Week 1 Backlog'!$C$6:$C$50,D12)</x:f>
        <x:v>1</x:v>
      </x:c>
      <x:c r="F12" s="14" t="n">
        <x:f>SUMIF('Week 1 Backlog'!$C$6:$C$50,D12,'Week 1 Backlog'!$J$6:$J$50)</x:f>
        <x:v>3</x:v>
      </x:c>
    </x:row>
    <x:row r="13">
      <x:c r="A13" s="9" t="str">
        <x:v>Day 5</x:v>
      </x:c>
      <x:c r="B13" s="14" t="n">
        <x:f>SUMIF('Week 1 Backlog'!$B$6:$B$50,A13,'Week 1 Backlog'!$J$6:$J$50)</x:f>
        <x:v>8.5</x:v>
      </x:c>
      <x:c r="D13" s="9" t="str">
        <x:v>评测设计</x:v>
      </x:c>
      <x:c r="E13" s="9" t="n">
        <x:f>COUNTIF('Week 1 Backlog'!$C$6:$C$50,D13)</x:f>
        <x:v>2</x:v>
      </x:c>
      <x:c r="F13" s="14" t="n">
        <x:f>SUMIF('Week 1 Backlog'!$C$6:$C$50,D13,'Week 1 Backlog'!$J$6:$J$50)</x:f>
        <x:v>6</x:v>
      </x:c>
    </x:row>
    <x:row r="14">
      <x:c r="D14" s="9" t="str">
        <x:v>体验设计</x:v>
      </x:c>
      <x:c r="E14" s="9" t="n">
        <x:f>COUNTIF('Week 1 Backlog'!$C$6:$C$50,D14)</x:f>
        <x:v>2</x:v>
      </x:c>
      <x:c r="F14" s="14" t="n">
        <x:f>SUMIF('Week 1 Backlog'!$C$6:$C$50,D14,'Week 1 Backlog'!$J$6:$J$50)</x:f>
        <x:v>8</x:v>
      </x:c>
    </x:row>
    <x:row r="15">
      <x:c r="D15" s="9" t="str">
        <x:v>用户研究</x:v>
      </x:c>
      <x:c r="E15" s="9" t="n">
        <x:f>COUNTIF('Week 1 Backlog'!$C$6:$C$50,D15)</x:f>
        <x:v>2</x:v>
      </x:c>
      <x:c r="F15" s="14" t="n">
        <x:f>SUMIF('Week 1 Backlog'!$C$6:$C$50,D15,'Week 1 Backlog'!$J$6:$J$50)</x:f>
        <x:v>7.5</x:v>
      </x:c>
    </x:row>
    <x:row r="16">
      <x:c r="D16" s="9" t="str">
        <x:v>综合分析</x:v>
      </x:c>
      <x:c r="E16" s="9" t="n">
        <x:f>COUNTIF('Week 1 Backlog'!$C$6:$C$50,D16)</x:f>
        <x:v>1</x:v>
      </x:c>
      <x:c r="F16" s="14" t="n">
        <x:f>SUMIF('Week 1 Backlog'!$C$6:$C$50,D16,'Week 1 Backlog'!$J$6:$J$50)</x:f>
        <x:v>3</x:v>
      </x:c>
    </x:row>
    <x:row r="17">
      <x:c r="D17" s="9" t="str">
        <x:v>度量与决策</x:v>
      </x:c>
      <x:c r="E17" s="9" t="n">
        <x:f>COUNTIF('Week 1 Backlog'!$C$6:$C$50,D17)</x:f>
        <x:v>2</x:v>
      </x:c>
      <x:c r="F17" s="14" t="n">
        <x:f>SUMIF('Week 1 Backlog'!$C$6:$C$50,D17,'Week 1 Backlog'!$J$6:$J$50)</x:f>
        <x:v>3</x:v>
      </x:c>
    </x:row>
    <x:row r="18">
      <x:c r="D18" s="9" t="str">
        <x:v>计划管理</x:v>
      </x:c>
      <x:c r="E18" s="9" t="n">
        <x:f>COUNTIF('Week 1 Backlog'!$C$6:$C$50,D18)</x:f>
        <x:v>1</x:v>
      </x:c>
      <x:c r="F18" s="14" t="n">
        <x:f>SUMIF('Week 1 Backlog'!$C$6:$C$50,D18,'Week 1 Backlog'!$J$6:$J$50)</x:f>
        <x:v>2</x:v>
      </x:c>
    </x:row>
    <x:row r="20">
      <x:c r="A20" s="32" t="str">
        <x:v>Week 1 guardrails</x:v>
      </x:c>
      <x:c r="B20" s="32"/>
      <x:c r="C20" s="32"/>
      <x:c r="D20" s="32"/>
      <x:c r="E20" s="32"/>
      <x:c r="F20" s="32"/>
      <x:c r="G20" s="32"/>
      <x:c r="H20" s="32"/>
    </x:row>
    <x:row r="21" ht="25" customHeight="1">
      <x:c r="A21" s="35" t="str">
        <x:v>1. 不调用生产 API，不上传真实客户照片；只做官方资料研究与评测准备。</x:v>
      </x:c>
      <x:c r="B21" s="35"/>
      <x:c r="C21" s="35"/>
      <x:c r="D21" s="35"/>
      <x:c r="E21" s="35"/>
      <x:c r="F21" s="35"/>
      <x:c r="G21" s="35"/>
      <x:c r="H21" s="35"/>
    </x:row>
    <x:row r="22" ht="25" customHeight="1">
      <x:c r="A22" s="35" t="str">
        <x:v>2. 风格化必须服务于旅行记忆/数字展览主线，不扩展成通用修图工具。</x:v>
      </x:c>
      <x:c r="B22" s="35"/>
      <x:c r="C22" s="35"/>
      <x:c r="D22" s="35"/>
      <x:c r="E22" s="35"/>
      <x:c r="F22" s="35"/>
      <x:c r="G22" s="35"/>
      <x:c r="H22" s="35"/>
    </x:row>
    <x:row r="23" ht="25" customHeight="1">
      <x:c r="A23" s="35" t="str">
        <x:v>3. 所有结论区分事实、推断和假设；未知条款写 Unknown。</x:v>
      </x:c>
      <x:c r="B23" s="35"/>
      <x:c r="C23" s="35"/>
      <x:c r="D23" s="35"/>
      <x:c r="E23" s="35"/>
      <x:c r="F23" s="35"/>
      <x:c r="G23" s="35"/>
      <x:c r="H23" s="35"/>
    </x:row>
    <x:row r="24" ht="25" customHeight="1">
      <x:c r="A24" s="35" t="str">
        <x:v>4. 周五只批准有限 Week 2 Spike，不承诺生产接入或正式发布日期。</x:v>
      </x:c>
      <x:c r="B24" s="35"/>
      <x:c r="C24" s="35"/>
      <x:c r="D24" s="35"/>
      <x:c r="E24" s="35"/>
      <x:c r="F24" s="35"/>
      <x:c r="G24" s="35"/>
      <x:c r="H24" s="35"/>
    </x:row>
  </x:sheetData>
  <x:mergeCells>
    <x:mergeCell ref="A1:J1"/>
    <x:mergeCell ref="A2:J2"/>
    <x:mergeCell ref="A4:B4"/>
    <x:mergeCell ref="C4:D4"/>
    <x:mergeCell ref="E4:F4"/>
    <x:mergeCell ref="G4:H4"/>
    <x:mergeCell ref="A5:B5"/>
    <x:mergeCell ref="C5:D5"/>
    <x:mergeCell ref="E5:F5"/>
    <x:mergeCell ref="G5:H5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  <x:drawing xmlns:r="http://schemas.openxmlformats.org/officeDocument/2006/relationships" r:id="Rdd710117d3d54a1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3" hidden="0" customWidth="1"/>
    <x:col min="5" max="5" width="13" hidden="0" customWidth="1"/>
    <x:col min="6" max="6" width="28" hidden="0" customWidth="1"/>
    <x:col min="7" max="7" width="33" hidden="0" customWidth="1"/>
    <x:col min="8" max="8" width="48" hidden="0" customWidth="1"/>
    <x:col min="9" max="9" width="20" hidden="0" customWidth="1"/>
    <x:col min="10" max="10" width="11" hidden="0" customWidth="1"/>
    <x:col min="11" max="11" width="22" hidden="0" customWidth="1"/>
    <x:col min="12" max="12" width="25" hidden="0" customWidth="1"/>
    <x:col min="13" max="13" width="14" hidden="0" customWidth="1"/>
    <x:col min="14" max="14" width="30" hidden="0" customWidth="1"/>
  </x:cols>
  <x:sheetData>
    <x:row r="1" ht="36" customHeight="1">
      <x:c r="A1" s="3" t="str">
        <x:v>Travel Memory Museum · Week 1 Discovery Backlog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范围：竞品研究、用户/场景验证、多模态图像 API 桌面选型、评测设计与决策准备；本周不做生产功能。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5" ht="32" customHeight="1">
      <x:c r="A5" s="13" t="str">
        <x:v>ID</x:v>
      </x:c>
      <x:c r="B5" s="13" t="str">
        <x:v>Day</x:v>
      </x:c>
      <x:c r="C5" s="13" t="str">
        <x:v>Workstream</x:v>
      </x:c>
      <x:c r="D5" s="13" t="str">
        <x:v>Priority</x:v>
      </x:c>
      <x:c r="E5" s="13" t="str">
        <x:v>Type</x:v>
      </x:c>
      <x:c r="F5" s="13" t="str">
        <x:v>Task</x:v>
      </x:c>
      <x:c r="G5" s="13" t="str">
        <x:v>Why now</x:v>
      </x:c>
      <x:c r="H5" s="13" t="str">
        <x:v>Acceptance Criteria</x:v>
      </x:c>
      <x:c r="I5" s="13" t="str">
        <x:v>Owner</x:v>
      </x:c>
      <x:c r="J5" s="13" t="str">
        <x:v>Est. Hours</x:v>
      </x:c>
      <x:c r="K5" s="13" t="str">
        <x:v>Dependency</x:v>
      </x:c>
      <x:c r="L5" s="13" t="str">
        <x:v>Expected Output</x:v>
      </x:c>
      <x:c r="M5" s="13" t="str">
        <x:v>Status</x:v>
      </x:c>
      <x:c r="N5" s="13" t="str">
        <x:v>Notes</x:v>
      </x:c>
    </x:row>
    <x:row r="6" ht="54" customHeight="1">
      <x:c r="A6" s="9" t="str">
        <x:v>W1-01</x:v>
      </x:c>
      <x:c r="B6" s="9" t="str">
        <x:v>Day 1</x:v>
      </x:c>
      <x:c r="C6" s="9" t="str">
        <x:v>产品策略</x:v>
      </x:c>
      <x:c r="D6" s="9" t="str">
        <x:v>Must</x:v>
      </x:c>
      <x:c r="E6" s="9" t="str">
        <x:v>Workshop</x:v>
      </x:c>
      <x:c r="F6" s="9" t="str">
        <x:v>重写产品假设与一句话价值主张</x:v>
      </x:c>
      <x:c r="G6" s="9" t="str">
        <x:v>把“实体纪念品 3D 化”与“旅行照片风格化”放入同一个清晰价值链。</x:v>
      </x:c>
      <x:c r="H6" s="9" t="str">
        <x:v>形成 1 版产品假设；明确目标用户、触发场景和核心结果；一句话可区分旅行日记/修图 App/3D 扫描器。</x:v>
      </x:c>
      <x:c r="I6" s="9" t="str">
        <x:v>Product</x:v>
      </x:c>
      <x:c r="J6" s="14" t="n">
        <x:v>2</x:v>
      </x:c>
      <x:c r="K6" s="9" t="str">
        <x:v>—</x:v>
      </x:c>
      <x:c r="L6" s="9" t="str">
        <x:v>Product thesis v2</x:v>
      </x:c>
      <x:c r="M6" s="9" t="str">
        <x:v>Not Started</x:v>
      </x:c>
      <x:c r="N6" s="9" t="str">
        <x:v>基于现有竞品报告的结论。</x:v>
      </x:c>
    </x:row>
    <x:row r="7" ht="54" customHeight="1">
      <x:c r="A7" s="9" t="str">
        <x:v>W1-02</x:v>
      </x:c>
      <x:c r="B7" s="9" t="str">
        <x:v>Day 1</x:v>
      </x:c>
      <x:c r="C7" s="9" t="str">
        <x:v>产品策略</x:v>
      </x:c>
      <x:c r="D7" s="9" t="str">
        <x:v>Must</x:v>
      </x:c>
      <x:c r="E7" s="9" t="str">
        <x:v>Decision Prep</x:v>
      </x:c>
      <x:c r="F7" s="9" t="str">
        <x:v>定义照片风格化在核心流程中的角色</x:v>
      </x:c>
      <x:c r="G7" s="9" t="str">
        <x:v>避免新功能变成与 3D 收藏无关的“贴上去的 AI 功能”。</x:v>
      </x:c>
      <x:c r="H7" s="9" t="str">
        <x:v>提出 3 个候选位置：拍摄后预览、3D 失败回退、Moodboard 素材；选出 1 个主用例和最多 2 个次用例。</x:v>
      </x:c>
      <x:c r="I7" s="9" t="str">
        <x:v>Product + Design</x:v>
      </x:c>
      <x:c r="J7" s="14" t="n">
        <x:v>2</x:v>
      </x:c>
      <x:c r="K7" s="9" t="str">
        <x:v>W1-01</x:v>
      </x:c>
      <x:c r="L7" s="9" t="str">
        <x:v>Feature role statement</x:v>
      </x:c>
      <x:c r="M7" s="9" t="str">
        <x:v>Not Started</x:v>
      </x:c>
      <x:c r="N7" s="9" t="str">
        <x:v>本周只做决策准备，不接 API。</x:v>
      </x:c>
    </x:row>
    <x:row r="8" ht="54" customHeight="1">
      <x:c r="A8" s="9" t="str">
        <x:v>W1-03</x:v>
      </x:c>
      <x:c r="B8" s="9" t="str">
        <x:v>Day 1</x:v>
      </x:c>
      <x:c r="C8" s="9" t="str">
        <x:v>竞品研究</x:v>
      </x:c>
      <x:c r="D8" s="9" t="str">
        <x:v>Must</x:v>
      </x:c>
      <x:c r="E8" s="9" t="str">
        <x:v>Planning</x:v>
      </x:c>
      <x:c r="F8" s="9" t="str">
        <x:v>扩展竞品研究地图</x:v>
      </x:c>
      <x:c r="G8" s="9" t="str">
        <x:v>研究范围同时覆盖旅行记忆、3D 捕捉、照片风格化与视觉策展。</x:v>
      </x:c>
      <x:c r="H8" s="9" t="str">
        <x:v>确定每类 3–6 个研究对象；写出选择理由、研究问题、官方来源和负责人；避免只比较功能数量。</x:v>
      </x:c>
      <x:c r="I8" s="9" t="str">
        <x:v>Research</x:v>
      </x:c>
      <x:c r="J8" s="14" t="n">
        <x:v>2</x:v>
      </x:c>
      <x:c r="K8" s="9" t="str">
        <x:v>W1-01</x:v>
      </x:c>
      <x:c r="L8" s="9" t="str">
        <x:v>Competitor research scope</x:v>
      </x:c>
      <x:c r="M8" s="9" t="str">
        <x:v>Not Started</x:v>
      </x:c>
      <x:c r="N8" s="9" t="str">
        <x:v>使用 Competitor Scope sheet。</x:v>
      </x:c>
    </x:row>
    <x:row r="9" ht="54" customHeight="1">
      <x:c r="A9" s="9" t="str">
        <x:v>W1-04</x:v>
      </x:c>
      <x:c r="B9" s="9" t="str">
        <x:v>Day 1</x:v>
      </x:c>
      <x:c r="C9" s="9" t="str">
        <x:v>产品策略</x:v>
      </x:c>
      <x:c r="D9" s="9" t="str">
        <x:v>Must</x:v>
      </x:c>
      <x:c r="E9" s="9" t="str">
        <x:v>Review</x:v>
      </x:c>
      <x:c r="F9" s="9" t="str">
        <x:v>复盘 PRD 缺口与现有开放决策</x:v>
      </x:c>
      <x:c r="G9" s="9" t="str">
        <x:v>把新功能引入后会变化的范围显性化。</x:v>
      </x:c>
      <x:c r="H9" s="9" t="str">
        <x:v>逐条检查用户流程、数据模型、隐私、失败态、公开分享与 Phase 2；记录新增/修改/不变项。</x:v>
      </x:c>
      <x:c r="I9" s="9" t="str">
        <x:v>Product + Backend</x:v>
      </x:c>
      <x:c r="J9" s="14" t="n">
        <x:v>2</x:v>
      </x:c>
      <x:c r="K9" s="9" t="str">
        <x:v>W1-02</x:v>
      </x:c>
      <x:c r="L9" s="9" t="str">
        <x:v>PRD change log draft</x:v>
      </x:c>
      <x:c r="M9" s="9" t="str">
        <x:v>Not Started</x:v>
      </x:c>
      <x:c r="N9" s="9" t="str">
        <x:v>重点关注照片派生版本与原图关系。</x:v>
      </x:c>
    </x:row>
    <x:row r="10" ht="54" customHeight="1">
      <x:c r="A10" s="9" t="str">
        <x:v>W1-05</x:v>
      </x:c>
      <x:c r="B10" s="9" t="str">
        <x:v>Day 1</x:v>
      </x:c>
      <x:c r="C10" s="9" t="str">
        <x:v>度量与决策</x:v>
      </x:c>
      <x:c r="D10" s="9" t="str">
        <x:v>Must</x:v>
      </x:c>
      <x:c r="E10" s="9" t="str">
        <x:v>Planning</x:v>
      </x:c>
      <x:c r="F10" s="9" t="str">
        <x:v>定义第一周成功标准与周五决策门</x:v>
      </x:c>
      <x:c r="G10" s="9" t="str">
        <x:v>团队知道本周不是“研究越多越好”，而是要关闭关键问题。</x:v>
      </x:c>
      <x:c r="H10" s="9" t="str">
        <x:v>确认 6 个周五决策；每个决策有证据要求、owner 和状态；定义本周完成标准。</x:v>
      </x:c>
      <x:c r="I10" s="9" t="str">
        <x:v>Product</x:v>
      </x:c>
      <x:c r="J10" s="14" t="n">
        <x:v>1.5</x:v>
      </x:c>
      <x:c r="K10" s="9" t="str">
        <x:v>W1-01</x:v>
      </x:c>
      <x:c r="L10" s="9" t="str">
        <x:v>Decision gate checklist</x:v>
      </x:c>
      <x:c r="M10" s="9" t="str">
        <x:v>Not Started</x:v>
      </x:c>
      <x:c r="N10" s="9" t="str">
        <x:v>使用 Decision Gate sheet。</x:v>
      </x:c>
    </x:row>
    <x:row r="11" ht="54" customHeight="1">
      <x:c r="A11" s="9" t="str">
        <x:v>W1-06</x:v>
      </x:c>
      <x:c r="B11" s="9" t="str">
        <x:v>Day 2</x:v>
      </x:c>
      <x:c r="C11" s="9" t="str">
        <x:v>竞品研究</x:v>
      </x:c>
      <x:c r="D11" s="9" t="str">
        <x:v>Must</x:v>
      </x:c>
      <x:c r="E11" s="9" t="str">
        <x:v>Research</x:v>
      </x:c>
      <x:c r="F11" s="9" t="str">
        <x:v>更新旅行记忆竞品对比</x:v>
      </x:c>
      <x:c r="G11" s="9" t="str">
        <x:v>判断旅行记忆产品如何降低记录负担并制造回看价值。</x:v>
      </x:c>
      <x:c r="H11" s="9" t="str">
        <x:v>核对 Polarsteps、FindPenguins 等官方资料；记录入口、核心循环、分享、留存机制、商业模式与隐私信号。</x:v>
      </x:c>
      <x:c r="I11" s="9" t="str">
        <x:v>Research</x:v>
      </x:c>
      <x:c r="J11" s="14" t="n">
        <x:v>4</x:v>
      </x:c>
      <x:c r="K11" s="9" t="str">
        <x:v>W1-03</x:v>
      </x:c>
      <x:c r="L11" s="9" t="str">
        <x:v>Travel-memory comparison</x:v>
      </x:c>
      <x:c r="M11" s="9" t="str">
        <x:v>Not Started</x:v>
      </x:c>
      <x:c r="N11" s="9" t="str">
        <x:v>沿用既有报告并补充与照片风格化的连接点。</x:v>
      </x:c>
    </x:row>
    <x:row r="12" ht="54" customHeight="1">
      <x:c r="A12" s="9" t="str">
        <x:v>W1-07</x:v>
      </x:c>
      <x:c r="B12" s="9" t="str">
        <x:v>Day 2</x:v>
      </x:c>
      <x:c r="C12" s="9" t="str">
        <x:v>竞品研究</x:v>
      </x:c>
      <x:c r="D12" s="9" t="str">
        <x:v>Should</x:v>
      </x:c>
      <x:c r="E12" s="9" t="str">
        <x:v>Research</x:v>
      </x:c>
      <x:c r="F12" s="9" t="str">
        <x:v>补充 3D 捕捉竞品对比</x:v>
      </x:c>
      <x:c r="G12" s="9" t="str">
        <x:v>识别拍摄引导、质量信任和失败恢复的行业做法。</x:v>
      </x:c>
      <x:c r="H12" s="9" t="str">
        <x:v>研究至少 3 个 3D 捕捉产品；记录输入要求、等待反馈、失败处理、分享和免费/付费边界。</x:v>
      </x:c>
      <x:c r="I12" s="9" t="str">
        <x:v>Research + Backend</x:v>
      </x:c>
      <x:c r="J12" s="14" t="n">
        <x:v>3</x:v>
      </x:c>
      <x:c r="K12" s="9" t="str">
        <x:v>W1-03</x:v>
      </x:c>
      <x:c r="L12" s="9" t="str">
        <x:v>3D-capture comparison</x:v>
      </x:c>
      <x:c r="M12" s="9" t="str">
        <x:v>Not Started</x:v>
      </x:c>
      <x:c r="N12" s="9" t="str">
        <x:v>不要把专业导出能力直接当成消费者价值。</x:v>
      </x:c>
    </x:row>
    <x:row r="13" ht="54" customHeight="1">
      <x:c r="A13" s="9" t="str">
        <x:v>W1-08</x:v>
      </x:c>
      <x:c r="B13" s="9" t="str">
        <x:v>Day 2</x:v>
      </x:c>
      <x:c r="C13" s="9" t="str">
        <x:v>竞品研究</x:v>
      </x:c>
      <x:c r="D13" s="9" t="str">
        <x:v>Must</x:v>
      </x:c>
      <x:c r="E13" s="9" t="str">
        <x:v>Research</x:v>
      </x:c>
      <x:c r="F13" s="9" t="str">
        <x:v>照片风格化竞品深度调查</x:v>
      </x:c>
      <x:c r="G13" s="9" t="str">
        <x:v>理解用户为什么使用风格化、首屏如何表达价值，以及如何控制相似度。</x:v>
      </x:c>
      <x:c r="H13" s="9" t="str">
        <x:v>研究至少 5 个产品；对比入口、预设风格、原图保真、人物处理、编辑控制、导出水印、订阅墙与安全边界。</x:v>
      </x:c>
      <x:c r="I13" s="9" t="str">
        <x:v>Research + Design</x:v>
      </x:c>
      <x:c r="J13" s="14" t="n">
        <x:v>5</x:v>
      </x:c>
      <x:c r="K13" s="9" t="str">
        <x:v>W1-03</x:v>
      </x:c>
      <x:c r="L13" s="9" t="str">
        <x:v>Stylization comparison matrix</x:v>
      </x:c>
      <x:c r="M13" s="9" t="str">
        <x:v>Not Started</x:v>
      </x:c>
      <x:c r="N13" s="9" t="str">
        <x:v>候选仅是研究范围，不代表最终对标对象。</x:v>
      </x:c>
    </x:row>
    <x:row r="14" ht="54" customHeight="1">
      <x:c r="A14" s="9" t="str">
        <x:v>W1-09</x:v>
      </x:c>
      <x:c r="B14" s="9" t="str">
        <x:v>Day 2</x:v>
      </x:c>
      <x:c r="C14" s="9" t="str">
        <x:v>竞品研究</x:v>
      </x:c>
      <x:c r="D14" s="9" t="str">
        <x:v>Should</x:v>
      </x:c>
      <x:c r="E14" s="9" t="str">
        <x:v>Research</x:v>
      </x:c>
      <x:c r="F14" s="9" t="str">
        <x:v>Moodboard 与创意画布补充调查</x:v>
      </x:c>
      <x:c r="G14" s="9" t="str">
        <x:v>避免 Moodboard 复杂度再次膨胀。</x:v>
      </x:c>
      <x:c r="H14" s="9" t="str">
        <x:v>研究至少 3 个画布产品；记录模板、拖拽/缩放、素材入口、只读链接、移动端限制和协作边界。</x:v>
      </x:c>
      <x:c r="I14" s="9" t="str">
        <x:v>Research + Design</x:v>
      </x:c>
      <x:c r="J14" s="14" t="n">
        <x:v>3</x:v>
      </x:c>
      <x:c r="K14" s="9" t="str">
        <x:v>W1-03</x:v>
      </x:c>
      <x:c r="L14" s="9" t="str">
        <x:v>Curation comparison</x:v>
      </x:c>
      <x:c r="M14" s="9" t="str">
        <x:v>Not Started</x:v>
      </x:c>
      <x:c r="N14" s="9" t="str">
        <x:v>重点回答“受控自由”怎么落地。</x:v>
      </x:c>
    </x:row>
    <x:row r="15" ht="54" customHeight="1">
      <x:c r="A15" s="9" t="str">
        <x:v>W1-10</x:v>
      </x:c>
      <x:c r="B15" s="9" t="str">
        <x:v>Day 2</x:v>
      </x:c>
      <x:c r="C15" s="9" t="str">
        <x:v>竞品研究</x:v>
      </x:c>
      <x:c r="D15" s="9" t="str">
        <x:v>Must</x:v>
      </x:c>
      <x:c r="E15" s="9" t="str">
        <x:v>Synthesis</x:v>
      </x:c>
      <x:c r="F15" s="9" t="str">
        <x:v>形成机会地图与反功能清单</x:v>
      </x:c>
      <x:c r="G15" s="9" t="str">
        <x:v>从竞品事实转成我们该做和不该做的选择。</x:v>
      </x:c>
      <x:c r="H15" s="9" t="str">
        <x:v>输出 2 轴定位图；列出可借鉴模式、差异化空白、MVP 必留/简化/延后项；每个结论可回溯到证据。</x:v>
      </x:c>
      <x:c r="I15" s="9" t="str">
        <x:v>Product + Research</x:v>
      </x:c>
      <x:c r="J15" s="14" t="n">
        <x:v>3</x:v>
      </x:c>
      <x:c r="K15" s="9" t="str">
        <x:v>W1-06, W1-07, W1-08, W1-09</x:v>
      </x:c>
      <x:c r="L15" s="9" t="str">
        <x:v>Opportunity map v2</x:v>
      </x:c>
      <x:c r="M15" s="9" t="str">
        <x:v>Not Started</x:v>
      </x:c>
      <x:c r="N15" s="9" t="str">
        <x:v>反功能清单用于防止变成通用 AI 修图 App。</x:v>
      </x:c>
    </x:row>
    <x:row r="16" ht="54" customHeight="1">
      <x:c r="A16" s="9" t="str">
        <x:v>W1-11</x:v>
      </x:c>
      <x:c r="B16" s="9" t="str">
        <x:v>Day 3</x:v>
      </x:c>
      <x:c r="C16" s="9" t="str">
        <x:v>API 选型</x:v>
      </x:c>
      <x:c r="D16" s="9" t="str">
        <x:v>Must</x:v>
      </x:c>
      <x:c r="E16" s="9" t="str">
        <x:v>Desk Research</x:v>
      </x:c>
      <x:c r="F16" s="9" t="str">
        <x:v>建立多模态图像 API 候选清单</x:v>
      </x:c>
      <x:c r="G16" s="9" t="str">
        <x:v>选出值得进入 Week 2 实测的 2–3 个供应商。</x:v>
      </x:c>
      <x:c r="H16" s="9" t="str">
        <x:v>只用官方文档核对图像输入/编辑、风格控制、输出格式、限制、SDK、区域可用性与最新模型；记录来源日期。</x:v>
      </x:c>
      <x:c r="I16" s="9" t="str">
        <x:v>Backend</x:v>
      </x:c>
      <x:c r="J16" s="14" t="n">
        <x:v>4</x:v>
      </x:c>
      <x:c r="K16" s="9" t="str">
        <x:v>W1-02</x:v>
      </x:c>
      <x:c r="L16" s="9" t="str">
        <x:v>API shortlist</x:v>
      </x:c>
      <x:c r="M16" s="9" t="str">
        <x:v>Not Started</x:v>
      </x:c>
      <x:c r="N16" s="9" t="str">
        <x:v>本周不提交真实客户照片。</x:v>
      </x:c>
    </x:row>
    <x:row r="17" ht="54" customHeight="1">
      <x:c r="A17" s="9" t="str">
        <x:v>W1-12</x:v>
      </x:c>
      <x:c r="B17" s="9" t="str">
        <x:v>Day 3</x:v>
      </x:c>
      <x:c r="C17" s="9" t="str">
        <x:v>隐私与安全</x:v>
      </x:c>
      <x:c r="D17" s="9" t="str">
        <x:v>Must</x:v>
      </x:c>
      <x:c r="E17" s="9" t="str">
        <x:v>Review</x:v>
      </x:c>
      <x:c r="F17" s="9" t="str">
        <x:v>比较 API 数据使用、保留与商业权利</x:v>
      </x:c>
      <x:c r="G17" s="9" t="str">
        <x:v>避免在选型后才发现客户照片不能按预期处理。</x:v>
      </x:c>
      <x:c r="H17" s="9" t="str">
        <x:v>记录数据保留、训练使用、删除、区域、商业使用、人物/未成年人、安全过滤与申诉机制；标出需法务确认项。</x:v>
      </x:c>
      <x:c r="I17" s="9" t="str">
        <x:v>Backend + Product</x:v>
      </x:c>
      <x:c r="J17" s="14" t="n">
        <x:v>3</x:v>
      </x:c>
      <x:c r="K17" s="9" t="str">
        <x:v>W1-11</x:v>
      </x:c>
      <x:c r="L17" s="9" t="str">
        <x:v>Privacy and rights matrix</x:v>
      </x:c>
      <x:c r="M17" s="9" t="str">
        <x:v>Not Started</x:v>
      </x:c>
      <x:c r="N17" s="9" t="str">
        <x:v>未知项必须写 Unknown，不做推断。</x:v>
      </x:c>
    </x:row>
    <x:row r="18" ht="54" customHeight="1">
      <x:c r="A18" s="9" t="str">
        <x:v>W1-13</x:v>
      </x:c>
      <x:c r="B18" s="9" t="str">
        <x:v>Day 3</x:v>
      </x:c>
      <x:c r="C18" s="9" t="str">
        <x:v>评测设计</x:v>
      </x:c>
      <x:c r="D18" s="9" t="str">
        <x:v>Must</x:v>
      </x:c>
      <x:c r="E18" s="9" t="str">
        <x:v>Planning</x:v>
      </x:c>
      <x:c r="F18" s="9" t="str">
        <x:v>定义 20 张评测照片样本集</x:v>
      </x:c>
      <x:c r="G18" s="9" t="str">
        <x:v>样本能代表真实旅行照片，而不是只挑容易出图的案例。</x:v>
      </x:c>
      <x:c r="H18" s="9" t="str">
        <x:v>按人物、合照、建筑/风景、食物/室内、纪念品、低光/运动分层；每张有授权、挑战点和必须保留元素。</x:v>
      </x:c>
      <x:c r="I18" s="9" t="str">
        <x:v>Design + QA</x:v>
      </x:c>
      <x:c r="J18" s="14" t="n">
        <x:v>3</x:v>
      </x:c>
      <x:c r="K18" s="9" t="str">
        <x:v>W1-02</x:v>
      </x:c>
      <x:c r="L18" s="9" t="str">
        <x:v>20-photo dataset plan</x:v>
      </x:c>
      <x:c r="M18" s="9" t="str">
        <x:v>Not Started</x:v>
      </x:c>
      <x:c r="N18" s="9" t="str">
        <x:v>使用 Style &amp; Eval sheet；只用团队授权素材。</x:v>
      </x:c>
    </x:row>
    <x:row r="19" ht="54" customHeight="1">
      <x:c r="A19" s="9" t="str">
        <x:v>W1-14</x:v>
      </x:c>
      <x:c r="B19" s="9" t="str">
        <x:v>Day 3</x:v>
      </x:c>
      <x:c r="C19" s="9" t="str">
        <x:v>评测设计</x:v>
      </x:c>
      <x:c r="D19" s="9" t="str">
        <x:v>Must</x:v>
      </x:c>
      <x:c r="E19" s="9" t="str">
        <x:v>Planning</x:v>
      </x:c>
      <x:c r="F19" s="9" t="str">
        <x:v>定义风格化质量评分标准</x:v>
      </x:c>
      <x:c r="G19" s="9" t="str">
        <x:v>不同 API 和风格可用同一标尺比较。</x:v>
      </x:c>
      <x:c r="H19" s="9" t="str">
        <x:v>确定主体保真、风格强度、构图稳定、文字/人脸保留、伪影、安全、延迟、成本等维度；定义 1–5 分锚点。</x:v>
      </x:c>
      <x:c r="I19" s="9" t="str">
        <x:v>Product + Design + QA</x:v>
      </x:c>
      <x:c r="J19" s="14" t="n">
        <x:v>3</x:v>
      </x:c>
      <x:c r="K19" s="9" t="str">
        <x:v>W1-13</x:v>
      </x:c>
      <x:c r="L19" s="9" t="str">
        <x:v>Evaluation rubric</x:v>
      </x:c>
      <x:c r="M19" s="9" t="str">
        <x:v>Not Started</x:v>
      </x:c>
      <x:c r="N19" s="9" t="str">
        <x:v>人物照片需单独记录身份一致性与不适感。</x:v>
      </x:c>
    </x:row>
    <x:row r="20" ht="54" customHeight="1">
      <x:c r="A20" s="9" t="str">
        <x:v>W1-15</x:v>
      </x:c>
      <x:c r="B20" s="9" t="str">
        <x:v>Day 3</x:v>
      </x:c>
      <x:c r="C20" s="9" t="str">
        <x:v>API 选型</x:v>
      </x:c>
      <x:c r="D20" s="9" t="str">
        <x:v>Must</x:v>
      </x:c>
      <x:c r="E20" s="9" t="str">
        <x:v>Planning</x:v>
      </x:c>
      <x:c r="F20" s="9" t="str">
        <x:v>设计 Week 2 技术 Spike 协议与预算上限</x:v>
      </x:c>
      <x:c r="G20" s="9" t="str">
        <x:v>实测可复现、可比较且不会失控消耗额度。</x:v>
      </x:c>
      <x:c r="H20" s="9" t="str">
        <x:v>定义每供应商调用次数、统一输入、提示词版本、日志字段、失败重试、成本上限和停止条件；建立结果命名规范。</x:v>
      </x:c>
      <x:c r="I20" s="9" t="str">
        <x:v>Backend + QA</x:v>
      </x:c>
      <x:c r="J20" s="14" t="n">
        <x:v>3</x:v>
      </x:c>
      <x:c r="K20" s="9" t="str">
        <x:v>W1-11, W1-13, W1-14</x:v>
      </x:c>
      <x:c r="L20" s="9" t="str">
        <x:v>Spike protocol</x:v>
      </x:c>
      <x:c r="M20" s="9" t="str">
        <x:v>Not Started</x:v>
      </x:c>
      <x:c r="N20" s="9" t="str">
        <x:v>本任务只写协议，不调用 API。</x:v>
      </x:c>
    </x:row>
    <x:row r="21" ht="54" customHeight="1">
      <x:c r="A21" s="9" t="str">
        <x:v>W1-16</x:v>
      </x:c>
      <x:c r="B21" s="9" t="str">
        <x:v>Day 4</x:v>
      </x:c>
      <x:c r="C21" s="9" t="str">
        <x:v>体验设计</x:v>
      </x:c>
      <x:c r="D21" s="9" t="str">
        <x:v>Must</x:v>
      </x:c>
      <x:c r="E21" s="9" t="str">
        <x:v>Design</x:v>
      </x:c>
      <x:c r="F21" s="9" t="str">
        <x:v>提出 6 个首发风格预设假设</x:v>
      </x:c>
      <x:c r="G21" s="9" t="str">
        <x:v>风格与旅行记忆和博物馆语境一致，而不是追逐流行滤镜。</x:v>
      </x:c>
      <x:c r="H21" s="9" t="str">
        <x:v>每个预设有名称、情绪、适用照片、禁止变化、示例提示词方向；排除默认模仿在世艺术家的风格。</x:v>
      </x:c>
      <x:c r="I21" s="9" t="str">
        <x:v>Design</x:v>
      </x:c>
      <x:c r="J21" s="14" t="n">
        <x:v>4</x:v>
      </x:c>
      <x:c r="K21" s="9" t="str">
        <x:v>W1-08, W1-14</x:v>
      </x:c>
      <x:c r="L21" s="9" t="str">
        <x:v>Style preset hypotheses</x:v>
      </x:c>
      <x:c r="M21" s="9" t="str">
        <x:v>Not Started</x:v>
      </x:c>
      <x:c r="N21" s="9" t="str">
        <x:v>建议从 Museum Archive、Vintage Postcard 等方向开始。</x:v>
      </x:c>
    </x:row>
    <x:row r="22" ht="54" customHeight="1">
      <x:c r="A22" s="9" t="str">
        <x:v>W1-17</x:v>
      </x:c>
      <x:c r="B22" s="9" t="str">
        <x:v>Day 4</x:v>
      </x:c>
      <x:c r="C22" s="9" t="str">
        <x:v>体验设计</x:v>
      </x:c>
      <x:c r="D22" s="9" t="str">
        <x:v>Must</x:v>
      </x:c>
      <x:c r="E22" s="9" t="str">
        <x:v>Prototype</x:v>
      </x:c>
      <x:c r="F22" s="9" t="str">
        <x:v>画出风格化功能的低保真流程</x:v>
      </x:c>
      <x:c r="G22" s="9" t="str">
        <x:v>用最小交互验证入口、等待、对比和撤销。</x:v>
      </x:c>
      <x:c r="H22" s="9" t="str">
        <x:v>完成入口→选择风格→生成中→前后对比→保存/重试/返回；覆盖失败和隐私提示；不设计高级编辑器。</x:v>
      </x:c>
      <x:c r="I22" s="9" t="str">
        <x:v>Design</x:v>
      </x:c>
      <x:c r="J22" s="14" t="n">
        <x:v>4</x:v>
      </x:c>
      <x:c r="K22" s="9" t="str">
        <x:v>W1-02, W1-16</x:v>
      </x:c>
      <x:c r="L22" s="9" t="str">
        <x:v>Low-fi flow storyboard</x:v>
      </x:c>
      <x:c r="M22" s="9" t="str">
        <x:v>Not Started</x:v>
      </x:c>
      <x:c r="N22" s="9" t="str">
        <x:v>原图始终可返回，风格图为派生资产。</x:v>
      </x:c>
    </x:row>
    <x:row r="23" ht="54" customHeight="1">
      <x:c r="A23" s="9" t="str">
        <x:v>W1-18</x:v>
      </x:c>
      <x:c r="B23" s="9" t="str">
        <x:v>Day 4</x:v>
      </x:c>
      <x:c r="C23" s="9" t="str">
        <x:v>用户研究</x:v>
      </x:c>
      <x:c r="D23" s="9" t="str">
        <x:v>Must</x:v>
      </x:c>
      <x:c r="E23" s="9" t="str">
        <x:v>Planning</x:v>
      </x:c>
      <x:c r="F23" s="9" t="str">
        <x:v>准备概念访谈与测试脚本</x:v>
      </x:c>
      <x:c r="G23" s="9" t="str">
        <x:v>确认用户是否想要“美化照片”，还是想要“更好地保存旅行记忆”。</x:v>
      </x:c>
      <x:c r="H23" s="9" t="str">
        <x:v>形成 30 分钟脚本；问题不诱导；包含当前习惯、愿意等待、风格偏好、隐私、分享与付费敏感度。</x:v>
      </x:c>
      <x:c r="I23" s="9" t="str">
        <x:v>Research</x:v>
      </x:c>
      <x:c r="J23" s="14" t="n">
        <x:v>3</x:v>
      </x:c>
      <x:c r="K23" s="9" t="str">
        <x:v>W1-01, W1-17</x:v>
      </x:c>
      <x:c r="L23" s="9" t="str">
        <x:v>Interview guide + recruit list</x:v>
      </x:c>
      <x:c r="M23" s="9" t="str">
        <x:v>Not Started</x:v>
      </x:c>
      <x:c r="N23" s="9" t="str">
        <x:v>招募 5 位保留旅行照片/纪念品的用户。</x:v>
      </x:c>
    </x:row>
    <x:row r="24" ht="54" customHeight="1">
      <x:c r="A24" s="9" t="str">
        <x:v>W1-19</x:v>
      </x:c>
      <x:c r="B24" s="9" t="str">
        <x:v>Day 4</x:v>
      </x:c>
      <x:c r="C24" s="9" t="str">
        <x:v>用户研究</x:v>
      </x:c>
      <x:c r="D24" s="9" t="str">
        <x:v>Should</x:v>
      </x:c>
      <x:c r="E24" s="9" t="str">
        <x:v>Research</x:v>
      </x:c>
      <x:c r="F24" s="9" t="str">
        <x:v>完成 3 次快速概念访谈</x:v>
      </x:c>
      <x:c r="G24" s="9" t="str">
        <x:v>在周五前获得一轮真实反应，而不是只靠团队判断。</x:v>
      </x:c>
      <x:c r="H24" s="9" t="str">
        <x:v>完成至少 3 次；逐次记录原话、行为、反对意见和未验证假设；不把少量访谈当统计结论。</x:v>
      </x:c>
      <x:c r="I24" s="9" t="str">
        <x:v>Research + Product</x:v>
      </x:c>
      <x:c r="J24" s="14" t="n">
        <x:v>4.5</x:v>
      </x:c>
      <x:c r="K24" s="9" t="str">
        <x:v>W1-18</x:v>
      </x:c>
      <x:c r="L24" s="9" t="str">
        <x:v>Interview notes</x:v>
      </x:c>
      <x:c r="M24" s="9" t="str">
        <x:v>Not Started</x:v>
      </x:c>
      <x:c r="N24" s="9" t="str">
        <x:v>若招募失败，记录原因并安排 Week 2。</x:v>
      </x:c>
    </x:row>
    <x:row r="25" ht="54" customHeight="1">
      <x:c r="A25" s="9" t="str">
        <x:v>W1-20</x:v>
      </x:c>
      <x:c r="B25" s="9" t="str">
        <x:v>Day 5</x:v>
      </x:c>
      <x:c r="C25" s="9" t="str">
        <x:v>综合分析</x:v>
      </x:c>
      <x:c r="D25" s="9" t="str">
        <x:v>Must</x:v>
      </x:c>
      <x:c r="E25" s="9" t="str">
        <x:v>Synthesis</x:v>
      </x:c>
      <x:c r="F25" s="9" t="str">
        <x:v>合并竞品、访谈与 API 桌面研究</x:v>
      </x:c>
      <x:c r="G25" s="9" t="str">
        <x:v>让证据围绕同一组产品决策汇合。</x:v>
      </x:c>
      <x:c r="H25" s="9" t="str">
        <x:v>输出证据摘要；每条建议标注来源与置信度；区分事实、推断和待验证假设。</x:v>
      </x:c>
      <x:c r="I25" s="9" t="str">
        <x:v>Product + Research</x:v>
      </x:c>
      <x:c r="J25" s="14" t="n">
        <x:v>3</x:v>
      </x:c>
      <x:c r="K25" s="9" t="str">
        <x:v>W1-10, W1-11, W1-12, W1-19</x:v>
      </x:c>
      <x:c r="L25" s="9" t="str">
        <x:v>Evidence synthesis</x:v>
      </x:c>
      <x:c r="M25" s="9" t="str">
        <x:v>Not Started</x:v>
      </x:c>
      <x:c r="N25" s="9" t="str">
        <x:v>不把供应商宣传语直接当性能结论。</x:v>
      </x:c>
    </x:row>
    <x:row r="26" ht="54" customHeight="1">
      <x:c r="A26" s="9" t="str">
        <x:v>W1-21</x:v>
      </x:c>
      <x:c r="B26" s="9" t="str">
        <x:v>Day 5</x:v>
      </x:c>
      <x:c r="C26" s="9" t="str">
        <x:v>度量与决策</x:v>
      </x:c>
      <x:c r="D26" s="9" t="str">
        <x:v>Must</x:v>
      </x:c>
      <x:c r="E26" s="9" t="str">
        <x:v>Workshop</x:v>
      </x:c>
      <x:c r="F26" s="9" t="str">
        <x:v>召开周五决策会</x:v>
      </x:c>
      <x:c r="G26" s="9" t="str">
        <x:v>关闭进入 Week 2 前的关键范围问题。</x:v>
      </x:c>
      <x:c r="H26" s="9" t="str">
        <x:v>逐项决定功能角色、流程位置、API shortlist、首测风格、数据规则和 Week 2 范围；未决定项有 owner 与期限。</x:v>
      </x:c>
      <x:c r="I26" s="9" t="str">
        <x:v>Product + Team</x:v>
      </x:c>
      <x:c r="J26" s="14" t="n">
        <x:v>1.5</x:v>
      </x:c>
      <x:c r="K26" s="9" t="str">
        <x:v>W1-20</x:v>
      </x:c>
      <x:c r="L26" s="9" t="str">
        <x:v>Signed decision log</x:v>
      </x:c>
      <x:c r="M26" s="9" t="str">
        <x:v>Not Started</x:v>
      </x:c>
      <x:c r="N26" s="9" t="str">
        <x:v>使用 Decision Gate sheet 更新状态。</x:v>
      </x:c>
    </x:row>
    <x:row r="27" ht="54" customHeight="1">
      <x:c r="A27" s="9" t="str">
        <x:v>W1-22</x:v>
      </x:c>
      <x:c r="B27" s="9" t="str">
        <x:v>Day 5</x:v>
      </x:c>
      <x:c r="C27" s="9" t="str">
        <x:v>产品策略</x:v>
      </x:c>
      <x:c r="D27" s="9" t="str">
        <x:v>Must</x:v>
      </x:c>
      <x:c r="E27" s="9" t="str">
        <x:v>Documentation</x:v>
      </x:c>
      <x:c r="F27" s="9" t="str">
        <x:v>更新 PRD 假设与开放问题</x:v>
      </x:c>
      <x:c r="G27" s="9" t="str">
        <x:v>PRD 能反映竞品调整和风格化功能，而不是口头共识。</x:v>
      </x:c>
      <x:c r="H27" s="9" t="str">
        <x:v>补充用户流程、派生图片数据结构、隐私/删除、错误态、指标、Out of Scope；保留变更记录。</x:v>
      </x:c>
      <x:c r="I27" s="9" t="str">
        <x:v>Product</x:v>
      </x:c>
      <x:c r="J27" s="14" t="n">
        <x:v>2</x:v>
      </x:c>
      <x:c r="K27" s="9" t="str">
        <x:v>W1-21</x:v>
      </x:c>
      <x:c r="L27" s="9" t="str">
        <x:v>PRD change list v2</x:v>
      </x:c>
      <x:c r="M27" s="9" t="str">
        <x:v>Not Started</x:v>
      </x:c>
      <x:c r="N27" s="9" t="str">
        <x:v>本周不要求重写完整 PRD。</x:v>
      </x:c>
    </x:row>
    <x:row r="28" ht="54" customHeight="1">
      <x:c r="A28" s="9" t="str">
        <x:v>W1-23</x:v>
      </x:c>
      <x:c r="B28" s="9" t="str">
        <x:v>Day 5</x:v>
      </x:c>
      <x:c r="C28" s="9" t="str">
        <x:v>计划管理</x:v>
      </x:c>
      <x:c r="D28" s="9" t="str">
        <x:v>Must</x:v>
      </x:c>
      <x:c r="E28" s="9" t="str">
        <x:v>Planning</x:v>
      </x:c>
      <x:c r="F28" s="9" t="str">
        <x:v>生成 Week 2 技术 Spike Backlog</x:v>
      </x:c>
      <x:c r="G28" s="9" t="str">
        <x:v>下一周可以直接开始有限实测，而不是继续泛泛研究。</x:v>
      </x:c>
      <x:c r="H28" s="9" t="str">
        <x:v>只创建 API sandbox、20 图小样、评分、成本/延迟记录和结果评审任务；不承诺生产接入。</x:v>
      </x:c>
      <x:c r="I28" s="9" t="str">
        <x:v>Product + Backend + QA</x:v>
      </x:c>
      <x:c r="J28" s="14" t="n">
        <x:v>2</x:v>
      </x:c>
      <x:c r="K28" s="9" t="str">
        <x:v>W1-15, W1-21</x:v>
      </x:c>
      <x:c r="L28" s="9" t="str">
        <x:v>Week 2 spike backlog</x:v>
      </x:c>
      <x:c r="M28" s="9" t="str">
        <x:v>Not Started</x:v>
      </x:c>
      <x:c r="N28" s="9" t="str">
        <x:v>以周五决策为输入。</x:v>
      </x:c>
    </x:row>
  </x:sheetData>
  <x:mergeCells>
    <x:mergeCell ref="A1:N1"/>
    <x:mergeCell ref="A2:N2"/>
  </x:mergeCells>
  <x:conditionalFormatting sqref="D6:D50">
    <x:cfRule type="containsText" dxfId="0" priority="1" operator="containsText" text="Must"/>
    <x:cfRule type="containsText" dxfId="1" priority="2" operator="containsText" text="Should"/>
  </x:conditionalFormatting>
  <x:conditionalFormatting sqref="M6:M50">
    <x:cfRule type="containsText" dxfId="2" priority="3" operator="containsText" text="Done"/>
    <x:cfRule type="containsText" dxfId="3" priority="4" operator="containsText" text="Blocked"/>
  </x:conditionalFormatting>
  <x:dataValidations count="3">
    <x:dataValidation type="list" sqref="B6:B50">
      <x:formula1>"Day 1,Day 2,Day 3,Day 4,Day 5"</x:formula1>
    </x:dataValidation>
    <x:dataValidation type="list" sqref="D6:D50">
      <x:formula1>"Must,Should,Could"</x:formula1>
    </x:dataValidation>
    <x:dataValidation type="list" sqref="M6:M50">
      <x:formula1>"Not Started,Ready,In Progress,Blocked,In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6a029de6a842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</x:cols>
  <x:sheetData>
    <x:row r="1" ht="36" customHeight="1">
      <x:c r="A1" s="3" t="str">
        <x:v>Competitor Research Scope</x:v>
      </x:c>
      <x:c r="B1" s="3"/>
      <x:c r="C1" s="3"/>
      <x:c r="D1" s="3"/>
      <x:c r="E1" s="3"/>
      <x:c r="F1" s="3"/>
      <x:c r="G1" s="3"/>
    </x:row>
    <x:row r="2" ht="24" customHeight="1">
      <x:c r="A2" s="6" t="str">
        <x:v>候选清单用于第一周研究；需通过官方资料核实后再写入正式结论。</x:v>
      </x:c>
      <x:c r="B2" s="6"/>
      <x:c r="C2" s="6"/>
      <x:c r="D2" s="6"/>
      <x:c r="E2" s="6"/>
      <x:c r="F2" s="6"/>
      <x:c r="G2" s="6"/>
    </x:row>
    <x:row r="5" ht="32" customHeight="1">
      <x:c r="A5" s="13" t="str">
        <x:v>Candidate</x:v>
      </x:c>
      <x:c r="B5" s="13" t="str">
        <x:v>Category</x:v>
      </x:c>
      <x:c r="C5" s="13" t="str">
        <x:v>Hypothesis to Test</x:v>
      </x:c>
      <x:c r="D5" s="13" t="str">
        <x:v>Evidence to Collect</x:v>
      </x:c>
      <x:c r="E5" s="13" t="str">
        <x:v>Official Starting URL</x:v>
      </x:c>
      <x:c r="F5" s="13" t="str">
        <x:v>Owner</x:v>
      </x:c>
      <x:c r="G5" s="13" t="str">
        <x:v>Status</x:v>
      </x:c>
    </x:row>
    <x:row r="6" ht="47" customHeight="1">
      <x:c r="A6" s="9" t="str">
        <x:v>Polarsteps</x:v>
      </x:c>
      <x:c r="B6" s="9" t="str">
        <x:v>旅行记忆</x:v>
      </x:c>
      <x:c r="C6" s="9" t="str">
        <x:v>自动记录与回看价值</x:v>
      </x:c>
      <x:c r="D6" s="9" t="str">
        <x:v>入口、旅行循环、分享、Travel Book、隐私</x:v>
      </x:c>
      <x:c r="E6" s="9" t="str">
        <x:v>https://www.polarsteps.com/</x:v>
      </x:c>
      <x:c r="F6" s="9" t="str">
        <x:v>Research</x:v>
      </x:c>
      <x:c r="G6" s="9" t="str">
        <x:v>Planned</x:v>
      </x:c>
    </x:row>
    <x:row r="7" ht="47" customHeight="1">
      <x:c r="A7" s="9" t="str">
        <x:v>FindPenguins</x:v>
      </x:c>
      <x:c r="B7" s="9" t="str">
        <x:v>旅行记忆</x:v>
      </x:c>
      <x:c r="C7" s="9" t="str">
        <x:v>旅行日志、社区与 3D 路线表达</x:v>
      </x:c>
      <x:c r="D7" s="9" t="str">
        <x:v>离线追踪、分享、社区、Photo Book、Premium</x:v>
      </x:c>
      <x:c r="E7" s="9" t="str">
        <x:v>https://www.findpenguins.com/</x:v>
      </x:c>
      <x:c r="F7" s="9" t="str">
        <x:v>Research</x:v>
      </x:c>
      <x:c r="G7" s="9" t="str">
        <x:v>Planned</x:v>
      </x:c>
    </x:row>
    <x:row r="8" ht="47" customHeight="1">
      <x:c r="A8" s="9" t="str">
        <x:v>Polycam</x:v>
      </x:c>
      <x:c r="B8" s="9" t="str">
        <x:v>3D 捕捉</x:v>
      </x:c>
      <x:c r="C8" s="9" t="str">
        <x:v>物体捕捉质量与结果信任</x:v>
      </x:c>
      <x:c r="D8" s="9" t="str">
        <x:v>拍摄要求、等待、失败、分享、免费限制</x:v>
      </x:c>
      <x:c r="E8" s="9" t="str">
        <x:v>https://poly.cam/</x:v>
      </x:c>
      <x:c r="F8" s="9" t="str">
        <x:v>Backend</x:v>
      </x:c>
      <x:c r="G8" s="9" t="str">
        <x:v>Planned</x:v>
      </x:c>
    </x:row>
    <x:row r="9" ht="47" customHeight="1">
      <x:c r="A9" s="9" t="str">
        <x:v>KIRI Engine</x:v>
      </x:c>
      <x:c r="B9" s="9" t="str">
        <x:v>3D 捕捉</x:v>
      </x:c>
      <x:c r="C9" s="9" t="str">
        <x:v>消费级摄影测量流程</x:v>
      </x:c>
      <x:c r="D9" s="9" t="str">
        <x:v>输入要求、模型质量、导出、移动端引导</x:v>
      </x:c>
      <x:c r="E9" s="9" t="str">
        <x:v>https://www.kiriengine.app/</x:v>
      </x:c>
      <x:c r="F9" s="9" t="str">
        <x:v>Research</x:v>
      </x:c>
      <x:c r="G9" s="9" t="str">
        <x:v>Planned</x:v>
      </x:c>
    </x:row>
    <x:row r="10" ht="47" customHeight="1">
      <x:c r="A10" s="9" t="str">
        <x:v>RealityScan</x:v>
      </x:c>
      <x:c r="B10" s="9" t="str">
        <x:v>3D 捕捉</x:v>
      </x:c>
      <x:c r="C10" s="9" t="str">
        <x:v>移动端捕捉与引导</x:v>
      </x:c>
      <x:c r="D10" s="9" t="str">
        <x:v>拍摄反馈、处理、发布、生态绑定</x:v>
      </x:c>
      <x:c r="E10" s="9" t="str">
        <x:v>https://www.realityscan.com/</x:v>
      </x:c>
      <x:c r="F10" s="9" t="str">
        <x:v>Research</x:v>
      </x:c>
      <x:c r="G10" s="9" t="str">
        <x:v>Planned</x:v>
      </x:c>
    </x:row>
    <x:row r="11" ht="47" customHeight="1">
      <x:c r="A11" s="9" t="str">
        <x:v>Prisma</x:v>
      </x:c>
      <x:c r="B11" s="9" t="str">
        <x:v>照片风格化</x:v>
      </x:c>
      <x:c r="C11" s="9" t="str">
        <x:v>预设风格与首屏价值表达</x:v>
      </x:c>
      <x:c r="D11" s="9" t="str">
        <x:v>风格入口、保真、导出、订阅墙</x:v>
      </x:c>
      <x:c r="E11" s="9" t="str">
        <x:v>https://prisma-ai.com/</x:v>
      </x:c>
      <x:c r="F11" s="9" t="str">
        <x:v>Design</x:v>
      </x:c>
      <x:c r="G11" s="9" t="str">
        <x:v>Planned</x:v>
      </x:c>
    </x:row>
    <x:row r="12" ht="47" customHeight="1">
      <x:c r="A12" s="9" t="str">
        <x:v>Lensa</x:v>
      </x:c>
      <x:c r="B12" s="9" t="str">
        <x:v>照片风格化</x:v>
      </x:c>
      <x:c r="C12" s="9" t="str">
        <x:v>人物照片与生成式效果</x:v>
      </x:c>
      <x:c r="D12" s="9" t="str">
        <x:v>人物保真、控制、隐私、付费边界</x:v>
      </x:c>
      <x:c r="E12" s="9" t="str">
        <x:v>https://lensa-ai.com/</x:v>
      </x:c>
      <x:c r="F12" s="9" t="str">
        <x:v>Research</x:v>
      </x:c>
      <x:c r="G12" s="9" t="str">
        <x:v>Planned</x:v>
      </x:c>
    </x:row>
    <x:row r="13" ht="47" customHeight="1">
      <x:c r="A13" s="9" t="str">
        <x:v>Picsart</x:v>
      </x:c>
      <x:c r="B13" s="9" t="str">
        <x:v>照片风格化</x:v>
      </x:c>
      <x:c r="C13" s="9" t="str">
        <x:v>AI 编辑套件与创作控制</x:v>
      </x:c>
      <x:c r="D13" s="9" t="str">
        <x:v>图生图入口、控制深度、模板、水印、订阅</x:v>
      </x:c>
      <x:c r="E13" s="9" t="str">
        <x:v>https://picsart.com/</x:v>
      </x:c>
      <x:c r="F13" s="9" t="str">
        <x:v>Design</x:v>
      </x:c>
      <x:c r="G13" s="9" t="str">
        <x:v>Planned</x:v>
      </x:c>
    </x:row>
    <x:row r="14" ht="47" customHeight="1">
      <x:c r="A14" s="9" t="str">
        <x:v>Adobe Firefly</x:v>
      </x:c>
      <x:c r="B14" s="9" t="str">
        <x:v>照片风格化 / API</x:v>
      </x:c>
      <x:c r="C14" s="9" t="str">
        <x:v>商业安全与专业工作流</x:v>
      </x:c>
      <x:c r="D14" s="9" t="str">
        <x:v>风格控制、内容凭证、商业权利、API</x:v>
      </x:c>
      <x:c r="E14" s="9" t="str">
        <x:v>https://www.adobe.com/products/firefly.html</x:v>
      </x:c>
      <x:c r="F14" s="9" t="str">
        <x:v>Backend</x:v>
      </x:c>
      <x:c r="G14" s="9" t="str">
        <x:v>Planned</x:v>
      </x:c>
    </x:row>
    <x:row r="15" ht="47" customHeight="1">
      <x:c r="A15" s="9" t="str">
        <x:v>Canva</x:v>
      </x:c>
      <x:c r="B15" s="9" t="str">
        <x:v>照片风格化 / 策展</x:v>
      </x:c>
      <x:c r="C15" s="9" t="str">
        <x:v>轻量创作与模板组合</x:v>
      </x:c>
      <x:c r="D15" s="9" t="str">
        <x:v>AI 图片编辑、模板、分享、移动端限制</x:v>
      </x:c>
      <x:c r="E15" s="9" t="str">
        <x:v>https://www.canva.com/</x:v>
      </x:c>
      <x:c r="F15" s="9" t="str">
        <x:v>Design</x:v>
      </x:c>
      <x:c r="G15" s="9" t="str">
        <x:v>Planned</x:v>
      </x:c>
    </x:row>
    <x:row r="16" ht="47" customHeight="1">
      <x:c r="A16" s="9" t="str">
        <x:v>Milanote</x:v>
      </x:c>
      <x:c r="B16" s="9" t="str">
        <x:v>视觉策展</x:v>
      </x:c>
      <x:c r="C16" s="9" t="str">
        <x:v>受控自由与只读分享</x:v>
      </x:c>
      <x:c r="D16" s="9" t="str">
        <x:v>画布、模板、素材、公开链接、权限</x:v>
      </x:c>
      <x:c r="E16" s="9" t="str">
        <x:v>https://milanote.com/product/moodboarding</x:v>
      </x:c>
      <x:c r="F16" s="9" t="str">
        <x:v>Design</x:v>
      </x:c>
      <x:c r="G16" s="9" t="str">
        <x:v>Planned</x:v>
      </x:c>
    </x:row>
    <x:row r="17" ht="47" customHeight="1">
      <x:c r="A17" s="9" t="str">
        <x:v>Pinterest</x:v>
      </x:c>
      <x:c r="B17" s="9" t="str">
        <x:v>视觉策展</x:v>
      </x:c>
      <x:c r="C17" s="9" t="str">
        <x:v>灵感收集与发现循环</x:v>
      </x:c>
      <x:c r="D17" s="9" t="str">
        <x:v>保存入口、板结构、推荐、分享</x:v>
      </x:c>
      <x:c r="E17" s="9" t="str">
        <x:v>https://www.pinterest.com/</x:v>
      </x:c>
      <x:c r="F17" s="9" t="str">
        <x:v>Research</x:v>
      </x:c>
      <x:c r="G17" s="9" t="str">
        <x:v>Planned</x:v>
      </x:c>
    </x:row>
  </x:sheetData>
  <x:mergeCells>
    <x:mergeCell ref="A1:G1"/>
    <x:mergeCell ref="A2:G2"/>
  </x:mergeCells>
  <x:dataValidations count="1">
    <x:dataValidation type="list" sqref="G6:G30">
      <x:formula1>"Planned,In Research,Reviewed,Excluded"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4b5c01dad043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32" hidden="0" customWidth="1"/>
    <x:col min="13" max="13" width="24" hidden="0" customWidth="1"/>
    <x:col min="14" max="14" width="12" hidden="0" customWidth="1"/>
    <x:col min="15" max="15" width="45" hidden="0" customWidth="1"/>
  </x:cols>
  <x:sheetData>
    <x:row r="1" ht="36" customHeight="1">
      <x:c r="A1" s="3" t="str">
        <x:v>Multimodal Image API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Week 1 填写官方能力与条款；Week 2 才用授权样本实测。评分 1–5，Weighted Score 自动计算。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5" ht="32" customHeight="1">
      <x:c r="A5" s="13" t="str">
        <x:v>Provider</x:v>
      </x:c>
      <x:c r="B5" s="13" t="str">
        <x:v>Latest Eligible Endpoint</x:v>
      </x:c>
      <x:c r="C5" s="13" t="str">
        <x:v>Official Docs</x:v>
      </x:c>
      <x:c r="D5" s="13" t="str">
        <x:v>Subject Fidelity</x:v>
      </x:c>
      <x:c r="E5" s="13" t="str">
        <x:v>Style Control</x:v>
      </x:c>
      <x:c r="F5" s="13" t="str">
        <x:v>Latency &amp; Reliability</x:v>
      </x:c>
      <x:c r="G5" s="13" t="str">
        <x:v>Unit Cost</x:v>
      </x:c>
      <x:c r="H5" s="13" t="str">
        <x:v>Privacy &amp; Retention</x:v>
      </x:c>
      <x:c r="I5" s="13" t="str">
        <x:v>Commercial &amp; Safety</x:v>
      </x:c>
      <x:c r="J5" s="13" t="str">
        <x:v>Weighted Score</x:v>
      </x:c>
      <x:c r="K5" s="13" t="str">
        <x:v>Status</x:v>
      </x:c>
      <x:c r="L5" s="13" t="str">
        <x:v>Notes</x:v>
      </x:c>
      <x:c r="M5" s="13" t="str">
        <x:v>Criterion</x:v>
      </x:c>
      <x:c r="N5" s="13" t="str">
        <x:v>Weight</x:v>
      </x:c>
      <x:c r="O5" s="13" t="str">
        <x:v>Definition</x:v>
      </x:c>
    </x:row>
    <x:row r="6" ht="50" customHeight="1">
      <x:c r="A6" s="9" t="str">
        <x:v>OpenAI</x:v>
      </x:c>
      <x:c r="B6" s="9" t="str">
        <x:v>待核对最新图像编辑模型</x:v>
      </x:c>
      <x:c r="C6" s="9" t="str">
        <x:v>https://platform.openai.com/docs/guides/images</x:v>
      </x:c>
      <x:c r="D6" s="9" t="str"/>
      <x:c r="E6" s="9" t="str"/>
      <x:c r="F6" s="9" t="str"/>
      <x:c r="G6" s="9" t="str"/>
      <x:c r="H6" s="9" t="str"/>
      <x:c r="I6" s="9" t="str"/>
      <x:c r="J6" s="37" t="str">
        <x:f>IF(COUNT(D6:I6)&lt;ROWS($N$6:$N$11),"",SUMPRODUCT(D6:I6,$N$6:$N$11))</x:f>
      </x:c>
      <x:c r="K6" s="9" t="str">
        <x:v>Planned</x:v>
      </x:c>
      <x:c r="L6" s="9" t="str">
        <x:v>只用官方文档；Week 1 不调用 API。</x:v>
      </x:c>
      <x:c r="M6" s="9" t="str">
        <x:v>主体/身份保真</x:v>
      </x:c>
      <x:c r="N6" s="36" t="n">
        <x:v>0.25</x:v>
      </x:c>
      <x:c r="O6" s="9" t="str">
        <x:v>物体轮廓、人物身份与关键细节不被错误改写</x:v>
      </x:c>
    </x:row>
    <x:row r="7" ht="50" customHeight="1">
      <x:c r="A7" s="9" t="str">
        <x:v>Google</x:v>
      </x:c>
      <x:c r="B7" s="9" t="str">
        <x:v>待核对最新图像生成/编辑模型</x:v>
      </x:c>
      <x:c r="C7" s="9" t="str">
        <x:v>https://ai.google.dev/gemini-api/docs/image-generation</x:v>
      </x:c>
      <x:c r="D7" s="9" t="str"/>
      <x:c r="E7" s="9" t="str"/>
      <x:c r="F7" s="9" t="str"/>
      <x:c r="G7" s="9" t="str"/>
      <x:c r="H7" s="9" t="str"/>
      <x:c r="I7" s="9" t="str"/>
      <x:c r="J7" s="37" t="str">
        <x:f>IF(COUNT(D7:I7)&lt;ROWS($N$6:$N$11),"",SUMPRODUCT(D7:I7,$N$6:$N$11))</x:f>
      </x:c>
      <x:c r="K7" s="9" t="str">
        <x:v>Planned</x:v>
      </x:c>
      <x:c r="L7" s="9" t="str">
        <x:v>核对地区、输入输出和数据使用条款。</x:v>
      </x:c>
      <x:c r="M7" s="9" t="str">
        <x:v>风格控制</x:v>
      </x:c>
      <x:c r="N7" s="36" t="n">
        <x:v>0.2</x:v>
      </x:c>
      <x:c r="O7" s="9" t="str">
        <x:v>预设之间可辨识，强度与禁止变化可控制</x:v>
      </x:c>
    </x:row>
    <x:row r="8" ht="50" customHeight="1">
      <x:c r="A8" s="9" t="str">
        <x:v>Stability AI</x:v>
      </x:c>
      <x:c r="B8" s="9" t="str">
        <x:v>待核对最新图像编辑模型</x:v>
      </x:c>
      <x:c r="C8" s="9" t="str">
        <x:v>https://platform.stability.ai/docs</x:v>
      </x:c>
      <x:c r="D8" s="9" t="str"/>
      <x:c r="E8" s="9" t="str"/>
      <x:c r="F8" s="9" t="str"/>
      <x:c r="G8" s="9" t="str"/>
      <x:c r="H8" s="9" t="str"/>
      <x:c r="I8" s="9" t="str"/>
      <x:c r="J8" s="37" t="str">
        <x:f>IF(COUNT(D8:I8)&lt;ROWS($N$6:$N$11),"",SUMPRODUCT(D8:I8,$N$6:$N$11))</x:f>
      </x:c>
      <x:c r="K8" s="9" t="str">
        <x:v>Planned</x:v>
      </x:c>
      <x:c r="L8" s="9" t="str">
        <x:v>核对风格控制与商业权利。</x:v>
      </x:c>
      <x:c r="M8" s="9" t="str">
        <x:v>延迟与稳定性</x:v>
      </x:c>
      <x:c r="N8" s="36" t="n">
        <x:v>0.15</x:v>
      </x:c>
      <x:c r="O8" s="9" t="str">
        <x:v>P50/P95、失败率、重试行为可接受</x:v>
      </x:c>
    </x:row>
    <x:row r="9" ht="50" customHeight="1">
      <x:c r="A9" s="9" t="str">
        <x:v>Adobe Firefly Services</x:v>
      </x:c>
      <x:c r="B9" s="9" t="str">
        <x:v>待核对最新 API</x:v>
      </x:c>
      <x:c r="C9" s="9" t="str">
        <x:v>https://developer.adobe.com/firefly-services/docs/</x:v>
      </x:c>
      <x:c r="D9" s="9" t="str"/>
      <x:c r="E9" s="9" t="str"/>
      <x:c r="F9" s="9" t="str"/>
      <x:c r="G9" s="9" t="str"/>
      <x:c r="H9" s="9" t="str"/>
      <x:c r="I9" s="9" t="str"/>
      <x:c r="J9" s="37" t="str">
        <x:f>IF(COUNT(D9:I9)&lt;ROWS($N$6:$N$11),"",SUMPRODUCT(D9:I9,$N$6:$N$11))</x:f>
      </x:c>
      <x:c r="K9" s="9" t="str">
        <x:v>Planned</x:v>
      </x:c>
      <x:c r="L9" s="9" t="str">
        <x:v>核对内容凭证和企业条款。</x:v>
      </x:c>
      <x:c r="M9" s="9" t="str">
        <x:v>单位成本</x:v>
      </x:c>
      <x:c r="N9" s="36" t="n">
        <x:v>0.15</x:v>
      </x:c>
      <x:c r="O9" s="9" t="str">
        <x:v>按目标分辨率和调用量估算单张成本</x:v>
      </x:c>
    </x:row>
    <x:row r="10">
      <x:c r="M10" s="9" t="str">
        <x:v>隐私与保留</x:v>
      </x:c>
      <x:c r="N10" s="36" t="n">
        <x:v>0.15</x:v>
      </x:c>
      <x:c r="O10" s="9" t="str">
        <x:v>客户图片使用、保留、删除和区域符合要求</x:v>
      </x:c>
    </x:row>
    <x:row r="11">
      <x:c r="M11" s="9" t="str">
        <x:v>商业与安全</x:v>
      </x:c>
      <x:c r="N11" s="36" t="n">
        <x:v>0.1</x:v>
      </x:c>
      <x:c r="O11" s="9" t="str">
        <x:v>商业权利、安全过滤、人物/未成年人处理清楚</x:v>
      </x:c>
    </x:row>
  </x:sheetData>
  <x:mergeCells>
    <x:mergeCell ref="A1:N1"/>
    <x:mergeCell ref="A2:N2"/>
  </x:mergeCells>
  <x:dataValidations count="2">
    <x:dataValidation type="whole" operator="between" sqref="D6:I20">
      <x:formula1>1</x:formula1>
      <x:formula2>5</x:formula2>
    </x:dataValidation>
    <x:dataValidation type="list" sqref="K6:K20">
      <x:formula1>"Planned,Desk Reviewed,Ready for Spike,Rejected"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b5bb6dea0a4a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27" hidden="0" customWidth="1"/>
    <x:col min="4" max="4" width="36" hidden="0" customWidth="1"/>
    <x:col min="5" max="5" width="14" hidden="0" customWidth="1"/>
    <x:col min="6" max="6" width="14" hidden="0" customWidth="1"/>
  </x:cols>
  <x:sheetData>
    <x:row r="1" ht="36" customHeight="1">
      <x:c r="A1" s="3" t="str">
        <x:v>Style Hypotheses &amp; Evaluation Dataset</x:v>
      </x:c>
      <x:c r="B1" s="3"/>
      <x:c r="C1" s="3"/>
      <x:c r="D1" s="3"/>
      <x:c r="E1" s="3"/>
      <x:c r="F1" s="3"/>
    </x:row>
    <x:row r="2" ht="24" customHeight="1">
      <x:c r="A2" s="6" t="str">
        <x:v>首周定义风格方向和 20 张授权样本结构；不追求出图数量。</x:v>
      </x:c>
      <x:c r="B2" s="6"/>
      <x:c r="C2" s="6"/>
      <x:c r="D2" s="6"/>
      <x:c r="E2" s="6"/>
      <x:c r="F2" s="6"/>
    </x:row>
    <x:row r="5" ht="32" customHeight="1">
      <x:c r="A5" s="13" t="str">
        <x:v>Style Hypothesis</x:v>
      </x:c>
      <x:c r="B5" s="13" t="str">
        <x:v>Intended Feeling</x:v>
      </x:c>
      <x:c r="C5" s="13" t="str">
        <x:v>Best-fit Photos</x:v>
      </x:c>
      <x:c r="D5" s="13" t="str">
        <x:v>Must Not Change</x:v>
      </x:c>
      <x:c r="E5" s="13" t="str">
        <x:v>Backlog ID</x:v>
      </x:c>
      <x:c r="F5" s="13" t="str">
        <x:v>Status</x:v>
      </x:c>
    </x:row>
    <x:row r="6" ht="44" customHeight="1">
      <x:c r="A6" s="9" t="str">
        <x:v>Museum Archive</x:v>
      </x:c>
      <x:c r="B6" s="9" t="str">
        <x:v>克制、清晰、像馆藏目录</x:v>
      </x:c>
      <x:c r="C6" s="9" t="str">
        <x:v>纪念品、建筑、静物</x:v>
      </x:c>
      <x:c r="D6" s="9" t="str">
        <x:v>主体颜色与文字可读性</x:v>
      </x:c>
      <x:c r="E6" s="9" t="str">
        <x:v>W1-16</x:v>
      </x:c>
      <x:c r="F6" s="9" t="str">
        <x:v>Hypothesis</x:v>
      </x:c>
    </x:row>
    <x:row r="7" ht="44" customHeight="1">
      <x:c r="A7" s="9" t="str">
        <x:v>Vintage Postcard</x:v>
      </x:c>
      <x:c r="B7" s="9" t="str">
        <x:v>温暖、怀旧、旅行感</x:v>
      </x:c>
      <x:c r="C7" s="9" t="str">
        <x:v>城市、风景、合照</x:v>
      </x:c>
      <x:c r="D7" s="9" t="str">
        <x:v>人脸身份与地标结构</x:v>
      </x:c>
      <x:c r="E7" s="9" t="str">
        <x:v>W1-16</x:v>
      </x:c>
      <x:c r="F7" s="9" t="str">
        <x:v>Hypothesis</x:v>
      </x:c>
    </x:row>
    <x:row r="8" ht="44" customHeight="1">
      <x:c r="A8" s="9" t="str">
        <x:v>Watercolor Journal</x:v>
      </x:c>
      <x:c r="B8" s="9" t="str">
        <x:v>轻盈、手作、日记感</x:v>
      </x:c>
      <x:c r="C8" s="9" t="str">
        <x:v>风景、食物、单人照</x:v>
      </x:c>
      <x:c r="D8" s="9" t="str">
        <x:v>构图和主体轮廓</x:v>
      </x:c>
      <x:c r="E8" s="9" t="str">
        <x:v>W1-16</x:v>
      </x:c>
      <x:c r="F8" s="9" t="str">
        <x:v>Hypothesis</x:v>
      </x:c>
    </x:row>
    <x:row r="9" ht="44" customHeight="1">
      <x:c r="A9" s="9" t="str">
        <x:v>Editorial Collage</x:v>
      </x:c>
      <x:c r="B9" s="9" t="str">
        <x:v>现代、策展、杂志感</x:v>
      </x:c>
      <x:c r="C9" s="9" t="str">
        <x:v>合照、建筑、纪念品</x:v>
      </x:c>
      <x:c r="D9" s="9" t="str">
        <x:v>关键元素不能被裁掉</x:v>
      </x:c>
      <x:c r="E9" s="9" t="str">
        <x:v>W1-16</x:v>
      </x:c>
      <x:c r="F9" s="9" t="str">
        <x:v>Hypothesis</x:v>
      </x:c>
    </x:row>
    <x:row r="10" ht="44" customHeight="1">
      <x:c r="A10" s="9" t="str">
        <x:v>Clay Miniature</x:v>
      </x:c>
      <x:c r="B10" s="9" t="str">
        <x:v>有趣、立体、收藏玩具感</x:v>
      </x:c>
      <x:c r="C10" s="9" t="str">
        <x:v>纪念品、食物、宠物</x:v>
      </x:c>
      <x:c r="D10" s="9" t="str">
        <x:v>数量、配件和主体身份</x:v>
      </x:c>
      <x:c r="E10" s="9" t="str">
        <x:v>W1-16</x:v>
      </x:c>
      <x:c r="F10" s="9" t="str">
        <x:v>Hypothesis</x:v>
      </x:c>
    </x:row>
    <x:row r="11" ht="44" customHeight="1">
      <x:c r="A11" s="9" t="str">
        <x:v>Graphic Travel Poster</x:v>
      </x:c>
      <x:c r="B11" s="9" t="str">
        <x:v>鲜明、分享友好、目的地感</x:v>
      </x:c>
      <x:c r="C11" s="9" t="str">
        <x:v>地标、风景、城市照</x:v>
      </x:c>
      <x:c r="D11" s="9" t="str">
        <x:v>地标轮廓与文字准确性</x:v>
      </x:c>
      <x:c r="E11" s="9" t="str">
        <x:v>W1-16</x:v>
      </x:c>
      <x:c r="F11" s="9" t="str">
        <x:v>Hypothesis</x:v>
      </x:c>
    </x:row>
    <x:row r="14" ht="32" customHeight="1">
      <x:c r="A14" s="13" t="str">
        <x:v>Sample Segment</x:v>
      </x:c>
      <x:c r="B14" s="13" t="str">
        <x:v>Target Count</x:v>
      </x:c>
      <x:c r="C14" s="13" t="str">
        <x:v>Known Challenge</x:v>
      </x:c>
      <x:c r="D14" s="13" t="str">
        <x:v>Must Preserve</x:v>
      </x:c>
      <x:c r="E14" s="13" t="str">
        <x:v>Consent / License</x:v>
      </x:c>
      <x:c r="F14" s="13" t="str">
        <x:v>Status</x:v>
      </x:c>
    </x:row>
    <x:row r="15" ht="48" customHeight="1">
      <x:c r="A15" s="9" t="str">
        <x:v>Portrait — single traveler</x:v>
      </x:c>
      <x:c r="B15" s="38" t="n">
        <x:v>5</x:v>
      </x:c>
      <x:c r="C15" s="9" t="str">
        <x:v>肤色、发型、眼镜、年龄与身份一致性</x:v>
      </x:c>
      <x:c r="D15" s="9" t="str">
        <x:v>人物身份、表情、服饰主色</x:v>
      </x:c>
      <x:c r="E15" s="9" t="str">
        <x:v>必须取得本人明确授权</x:v>
      </x:c>
      <x:c r="F15" s="9" t="str">
        <x:v>Planned</x:v>
      </x:c>
    </x:row>
    <x:row r="16" ht="48" customHeight="1">
      <x:c r="A16" s="9" t="str">
        <x:v>Group / selfie</x:v>
      </x:c>
      <x:c r="B16" s="38" t="n">
        <x:v>3</x:v>
      </x:c>
      <x:c r="C16" s="9" t="str">
        <x:v>多人身份、遮挡、手部和边缘人物</x:v>
      </x:c>
      <x:c r="D16" s="9" t="str">
        <x:v>人数、每张脸、构图</x:v>
      </x:c>
      <x:c r="E16" s="9" t="str">
        <x:v>所有可识别人物需授权</x:v>
      </x:c>
      <x:c r="F16" s="9" t="str">
        <x:v>Planned</x:v>
      </x:c>
    </x:row>
    <x:row r="17" ht="48" customHeight="1">
      <x:c r="A17" s="9" t="str">
        <x:v>Landscape / architecture</x:v>
      </x:c>
      <x:c r="B17" s="38" t="n">
        <x:v>4</x:v>
      </x:c>
      <x:c r="C17" s="9" t="str">
        <x:v>地标结构、天空、细线条、远景</x:v>
      </x:c>
      <x:c r="D17" s="9" t="str">
        <x:v>主要地标与地平线</x:v>
      </x:c>
      <x:c r="E17" s="9" t="str">
        <x:v>团队自有或授权素材</x:v>
      </x:c>
      <x:c r="F17" s="9" t="str">
        <x:v>Planned</x:v>
      </x:c>
    </x:row>
    <x:row r="18" ht="48" customHeight="1">
      <x:c r="A18" s="9" t="str">
        <x:v>Food / interior</x:v>
      </x:c>
      <x:c r="B18" s="38" t="n">
        <x:v>2</x:v>
      </x:c>
      <x:c r="C18" s="9" t="str">
        <x:v>材质、餐具数量、室内光线</x:v>
      </x:c>
      <x:c r="D18" s="9" t="str">
        <x:v>食物类型与空间结构</x:v>
      </x:c>
      <x:c r="E18" s="9" t="str">
        <x:v>团队自有或授权素材</x:v>
      </x:c>
      <x:c r="F18" s="9" t="str">
        <x:v>Planned</x:v>
      </x:c>
    </x:row>
    <x:row r="19" ht="48" customHeight="1">
      <x:c r="A19" s="9" t="str">
        <x:v>Souvenir / object</x:v>
      </x:c>
      <x:c r="B19" s="38" t="n">
        <x:v>4</x:v>
      </x:c>
      <x:c r="C19" s="9" t="str">
        <x:v>文字、反光、透明材质、小细节</x:v>
      </x:c>
      <x:c r="D19" s="9" t="str">
        <x:v>物体形状、文字和配件</x:v>
      </x:c>
      <x:c r="E19" s="9" t="str">
        <x:v>团队自有物品与照片</x:v>
      </x:c>
      <x:c r="F19" s="9" t="str">
        <x:v>Planned</x:v>
      </x:c>
    </x:row>
    <x:row r="20" ht="48" customHeight="1">
      <x:c r="A20" s="9" t="str">
        <x:v>Low light / motion</x:v>
      </x:c>
      <x:c r="B20" s="38" t="n">
        <x:v>2</x:v>
      </x:c>
      <x:c r="C20" s="9" t="str">
        <x:v>噪点、模糊、颜色偏差</x:v>
      </x:c>
      <x:c r="D20" s="9" t="str">
        <x:v>主体可识别性与构图</x:v>
      </x:c>
      <x:c r="E20" s="9" t="str">
        <x:v>团队自有或授权素材</x:v>
      </x:c>
      <x:c r="F20" s="9" t="str">
        <x:v>Planned</x:v>
      </x:c>
    </x:row>
    <x:row r="22">
      <x:c r="A22" s="41" t="str">
        <x:v>Planned photo total</x:v>
      </x:c>
      <x:c r="B22" s="42" t="n">
        <x:f>SUM(B15:B20)</x:f>
        <x:v>20</x:v>
      </x:c>
    </x:row>
  </x:sheetData>
  <x:mergeCells>
    <x:mergeCell ref="A1:F1"/>
    <x:mergeCell ref="A2:F2"/>
  </x:mergeCells>
  <x:dataValidations count="2">
    <x:dataValidation type="list" sqref="F6:F20">
      <x:formula1>"Hypothesis,Selected for Spike,Deferred,Rejected"</x:formula1>
    </x:dataValidation>
    <x:dataValidation type="list" sqref="F15:F30">
      <x:formula1>"Planned,Sourced,Consent Checked,Ready"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42" hidden="0" customWidth="1"/>
    <x:col min="4" max="4" width="24" hidden="0" customWidth="1"/>
    <x:col min="5" max="5" width="14" hidden="0" customWidth="1"/>
    <x:col min="6" max="6" width="14" hidden="0" customWidth="1"/>
    <x:col min="7" max="7" width="36" hidden="0" customWidth="1"/>
  </x:cols>
  <x:sheetData>
    <x:row r="1" ht="36" customHeight="1">
      <x:c r="A1" s="3" t="str">
        <x:v>Friday Decision Gate</x:v>
      </x:c>
      <x:c r="B1" s="3"/>
      <x:c r="C1" s="3"/>
      <x:c r="D1" s="3"/>
      <x:c r="E1" s="3"/>
      <x:c r="F1" s="3"/>
      <x:c r="G1" s="3"/>
    </x:row>
    <x:row r="2" ht="24" customHeight="1">
      <x:c r="A2" s="6" t="str">
        <x:v>Week 2 只能从已关闭的决策出发；Open 项必须有 owner 与新期限。</x:v>
      </x:c>
      <x:c r="B2" s="6"/>
      <x:c r="C2" s="6"/>
      <x:c r="D2" s="6"/>
      <x:c r="E2" s="6"/>
      <x:c r="F2" s="6"/>
      <x:c r="G2" s="6"/>
    </x:row>
    <x:row r="5" ht="32" customHeight="1">
      <x:c r="A5" s="13" t="str">
        <x:v>ID</x:v>
      </x:c>
      <x:c r="B5" s="13" t="str">
        <x:v>Decision</x:v>
      </x:c>
      <x:c r="C5" s="13" t="str">
        <x:v>Evidence Required</x:v>
      </x:c>
      <x:c r="D5" s="13" t="str">
        <x:v>Owner</x:v>
      </x:c>
      <x:c r="E5" s="13" t="str">
        <x:v>Due</x:v>
      </x:c>
      <x:c r="F5" s="13" t="str">
        <x:v>Status</x:v>
      </x:c>
      <x:c r="G5" s="13" t="str">
        <x:v>Decision Options / Output</x:v>
      </x:c>
    </x:row>
    <x:row r="6" ht="54" customHeight="1">
      <x:c r="A6" s="9" t="str">
        <x:v>G-01</x:v>
      </x:c>
      <x:c r="B6" s="9" t="str">
        <x:v>风格化功能是否进入 MVP？</x:v>
      </x:c>
      <x:c r="C6" s="9" t="str">
        <x:v>竞品证据、3 次访谈、主用例清晰度</x:v>
      </x:c>
      <x:c r="D6" s="9" t="str">
        <x:v>Product</x:v>
      </x:c>
      <x:c r="E6" s="9" t="str">
        <x:v>Friday</x:v>
      </x:c>
      <x:c r="F6" s="9" t="str">
        <x:v>Open</x:v>
      </x:c>
      <x:c r="G6" s="9" t="str">
        <x:v>进入 MVP / 1.1 / 暂缓</x:v>
      </x:c>
    </x:row>
    <x:row r="7" ht="54" customHeight="1">
      <x:c r="A7" s="9" t="str">
        <x:v>G-02</x:v>
      </x:c>
      <x:c r="B7" s="9" t="str">
        <x:v>风格化放在用户流程哪里？</x:v>
      </x:c>
      <x:c r="C7" s="9" t="str">
        <x:v>W1-02 候选位置 + W1-17 流程反馈</x:v>
      </x:c>
      <x:c r="D7" s="9" t="str">
        <x:v>Product + Design</x:v>
      </x:c>
      <x:c r="E7" s="9" t="str">
        <x:v>Friday</x:v>
      </x:c>
      <x:c r="F7" s="9" t="str">
        <x:v>Open</x:v>
      </x:c>
      <x:c r="G7" s="9" t="str">
        <x:v>选 1 个主入口；不做多入口并行</x:v>
      </x:c>
    </x:row>
    <x:row r="8" ht="54" customHeight="1">
      <x:c r="A8" s="9" t="str">
        <x:v>G-03</x:v>
      </x:c>
      <x:c r="B8" s="9" t="str">
        <x:v>哪些 API 进入 Week 2 实测？</x:v>
      </x:c>
      <x:c r="C8" s="9" t="str">
        <x:v>官方文档、隐私/权利矩阵、能力覆盖</x:v>
      </x:c>
      <x:c r="D8" s="9" t="str">
        <x:v>Backend</x:v>
      </x:c>
      <x:c r="E8" s="9" t="str">
        <x:v>Friday</x:v>
      </x:c>
      <x:c r="F8" s="9" t="str">
        <x:v>Open</x:v>
      </x:c>
      <x:c r="G8" s="9" t="str">
        <x:v>最多 2–3 个供应商</x:v>
      </x:c>
    </x:row>
    <x:row r="9" ht="54" customHeight="1">
      <x:c r="A9" s="9" t="str">
        <x:v>G-04</x:v>
      </x:c>
      <x:c r="B9" s="9" t="str">
        <x:v>首测哪些风格？</x:v>
      </x:c>
      <x:c r="C9" s="9" t="str">
        <x:v>竞品模式、访谈偏好、可评测性</x:v>
      </x:c>
      <x:c r="D9" s="9" t="str">
        <x:v>Design</x:v>
      </x:c>
      <x:c r="E9" s="9" t="str">
        <x:v>Friday</x:v>
      </x:c>
      <x:c r="F9" s="9" t="str">
        <x:v>Open</x:v>
      </x:c>
      <x:c r="G9" s="9" t="str">
        <x:v>最多 4 个进入首轮实测</x:v>
      </x:c>
    </x:row>
    <x:row r="10" ht="54" customHeight="1">
      <x:c r="A10" s="9" t="str">
        <x:v>G-05</x:v>
      </x:c>
      <x:c r="B10" s="9" t="str">
        <x:v>客户图片的数据规则是什么？</x:v>
      </x:c>
      <x:c r="C10" s="9" t="str">
        <x:v>保留/训练/删除/区域与授权要求</x:v>
      </x:c>
      <x:c r="D10" s="9" t="str">
        <x:v>Product + Backend</x:v>
      </x:c>
      <x:c r="E10" s="9" t="str">
        <x:v>Friday</x:v>
      </x:c>
      <x:c r="F10" s="9" t="str">
        <x:v>Open</x:v>
      </x:c>
      <x:c r="G10" s="9" t="str">
        <x:v>明确禁止项与需法务确认项</x:v>
      </x:c>
    </x:row>
    <x:row r="11" ht="54" customHeight="1">
      <x:c r="A11" s="9" t="str">
        <x:v>G-06</x:v>
      </x:c>
      <x:c r="B11" s="9" t="str">
        <x:v>Week 2 允许做什么？</x:v>
      </x:c>
      <x:c r="C11" s="9" t="str">
        <x:v>Spike 协议、预算、停止条件</x:v>
      </x:c>
      <x:c r="D11" s="9" t="str">
        <x:v>Product + Backend + QA</x:v>
      </x:c>
      <x:c r="E11" s="9" t="str">
        <x:v>Friday</x:v>
      </x:c>
      <x:c r="F11" s="9" t="str">
        <x:v>Open</x:v>
      </x:c>
      <x:c r="G11" s="9" t="str">
        <x:v>仅 sandbox 小样评测，不做生产接入</x:v>
      </x:c>
    </x:row>
  </x:sheetData>
  <x:mergeCells>
    <x:mergeCell ref="A1:G1"/>
    <x:mergeCell ref="A2:G2"/>
  </x:mergeCells>
  <x:conditionalFormatting sqref="F6:F20">
    <x:cfRule type="containsText" dxfId="4" priority="1" operator="containsText" text="Open"/>
    <x:cfRule type="containsText" dxfId="5" priority="2" operator="containsText" text="Decided"/>
  </x:conditionalFormatting>
  <x:dataValidations count="1">
    <x:dataValidation type="list" sqref="F6:F20">
      <x:formula1>"Open,Proposed,Decided,Deferred"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10bf33ce0846fc"/>
  </x:tableParts>
</x:worksheet>
</file>